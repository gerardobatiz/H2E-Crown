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432" documentId="8_{101B3648-96E3-491A-B0FE-FBAE7237A7DD}" xr6:coauthVersionLast="47" xr6:coauthVersionMax="47" xr10:uidLastSave="{93002DCA-D76C-46DC-9743-074698C67C83}"/>
  <bookViews>
    <workbookView xWindow="-120" yWindow="-120" windowWidth="20730" windowHeight="11160" firstSheet="1" activeTab="4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4" l="1"/>
  <c r="G13" i="4"/>
  <c r="G14" i="4"/>
  <c r="F12" i="4"/>
  <c r="I12" i="4" s="1"/>
  <c r="F13" i="4"/>
  <c r="I13" i="4" s="1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I9" i="4"/>
  <c r="I10" i="4"/>
  <c r="I11" i="4"/>
  <c r="G9" i="4"/>
  <c r="G10" i="4"/>
  <c r="G11" i="4"/>
  <c r="F9" i="4"/>
  <c r="F10" i="4"/>
  <c r="F11" i="4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K27" i="1"/>
  <c r="L27" i="1" s="1"/>
  <c r="G8" i="4"/>
  <c r="I8" i="4" s="1"/>
  <c r="F8" i="4"/>
  <c r="E8" i="4"/>
  <c r="C8" i="4"/>
  <c r="B8" i="4"/>
  <c r="K8" i="3"/>
  <c r="G26" i="2"/>
  <c r="F26" i="2"/>
  <c r="I26" i="2" s="1"/>
  <c r="E26" i="2"/>
  <c r="C26" i="2"/>
  <c r="B26" i="2"/>
  <c r="K26" i="1"/>
  <c r="L26" i="1" s="1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I6" i="4"/>
  <c r="I5" i="4"/>
  <c r="G6" i="4"/>
  <c r="F6" i="4"/>
  <c r="E6" i="4"/>
  <c r="C6" i="4"/>
  <c r="B6" i="4"/>
  <c r="H5" i="4"/>
  <c r="G5" i="4"/>
  <c r="F5" i="4"/>
  <c r="E5" i="4"/>
  <c r="C5" i="4"/>
  <c r="B5" i="4"/>
  <c r="J9" i="8"/>
  <c r="F7" i="8"/>
  <c r="J5" i="3"/>
  <c r="M5" i="3"/>
  <c r="O5" i="3" s="1"/>
  <c r="L5" i="3" s="1"/>
  <c r="J6" i="3"/>
  <c r="L6" i="3"/>
  <c r="M6" i="3"/>
  <c r="J7" i="3"/>
  <c r="L7" i="3"/>
  <c r="M7" i="3"/>
  <c r="J8" i="3"/>
  <c r="L8" i="3"/>
  <c r="M8" i="3"/>
  <c r="L4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J2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H2" i="4"/>
  <c r="I7" i="4"/>
  <c r="I4" i="4"/>
  <c r="F2" i="4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O69" i="3"/>
  <c r="Q69" i="3" s="1"/>
  <c r="M69" i="3"/>
  <c r="L69" i="3"/>
  <c r="J69" i="3"/>
  <c r="S69" i="3" s="1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O19" i="3"/>
  <c r="Q19" i="3" s="1"/>
  <c r="M19" i="3"/>
  <c r="L19" i="3"/>
  <c r="J19" i="3"/>
  <c r="O18" i="3"/>
  <c r="Q18" i="3" s="1"/>
  <c r="M18" i="3"/>
  <c r="L18" i="3"/>
  <c r="J18" i="3"/>
  <c r="M17" i="3"/>
  <c r="O17" i="3" s="1"/>
  <c r="Q17" i="3" s="1"/>
  <c r="L17" i="3"/>
  <c r="J17" i="3"/>
  <c r="J16" i="3"/>
  <c r="M15" i="3"/>
  <c r="O15" i="3" s="1"/>
  <c r="Q15" i="3" s="1"/>
  <c r="L15" i="3"/>
  <c r="J15" i="3"/>
  <c r="J14" i="3"/>
  <c r="J13" i="3"/>
  <c r="J12" i="3"/>
  <c r="J11" i="3"/>
  <c r="J10" i="3"/>
  <c r="J9" i="3"/>
  <c r="O6" i="3"/>
  <c r="Q6" i="3" s="1"/>
  <c r="M4" i="3"/>
  <c r="O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L25" i="1" l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69" i="3"/>
  <c r="T69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S96" i="3"/>
  <c r="R96" i="3"/>
  <c r="T96" i="3" s="1"/>
  <c r="R95" i="3"/>
  <c r="S95" i="3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S76" i="3"/>
  <c r="R76" i="3"/>
  <c r="T76" i="3" s="1"/>
  <c r="R75" i="3"/>
  <c r="S75" i="3"/>
  <c r="S74" i="3"/>
  <c r="R74" i="3"/>
  <c r="T74" i="3" s="1"/>
  <c r="S73" i="3"/>
  <c r="R73" i="3"/>
  <c r="T73" i="3" s="1"/>
  <c r="S72" i="3"/>
  <c r="R72" i="3"/>
  <c r="S71" i="3"/>
  <c r="R71" i="3"/>
  <c r="T71" i="3" s="1"/>
  <c r="S70" i="3"/>
  <c r="R70" i="3"/>
  <c r="T70" i="3" s="1"/>
  <c r="R68" i="3"/>
  <c r="S68" i="3"/>
  <c r="R67" i="3"/>
  <c r="S67" i="3"/>
  <c r="S66" i="3"/>
  <c r="R66" i="3"/>
  <c r="T66" i="3" s="1"/>
  <c r="S65" i="3"/>
  <c r="R65" i="3"/>
  <c r="T65" i="3" s="1"/>
  <c r="S64" i="3"/>
  <c r="R64" i="3"/>
  <c r="T64" i="3" s="1"/>
  <c r="R63" i="3"/>
  <c r="S63" i="3"/>
  <c r="R62" i="3"/>
  <c r="T62" i="3" s="1"/>
  <c r="S62" i="3"/>
  <c r="R61" i="3"/>
  <c r="S61" i="3"/>
  <c r="R60" i="3"/>
  <c r="T60" i="3" s="1"/>
  <c r="S60" i="3"/>
  <c r="R59" i="3"/>
  <c r="S59" i="3"/>
  <c r="R58" i="3"/>
  <c r="T58" i="3" s="1"/>
  <c r="S58" i="3"/>
  <c r="R57" i="3"/>
  <c r="S57" i="3"/>
  <c r="R56" i="3"/>
  <c r="S56" i="3"/>
  <c r="S55" i="3"/>
  <c r="R55" i="3"/>
  <c r="T55" i="3" s="1"/>
  <c r="S54" i="3"/>
  <c r="R54" i="3"/>
  <c r="T54" i="3" s="1"/>
  <c r="S53" i="3"/>
  <c r="R53" i="3"/>
  <c r="T53" i="3" s="1"/>
  <c r="R52" i="3"/>
  <c r="S52" i="3"/>
  <c r="R51" i="3"/>
  <c r="T51" i="3" s="1"/>
  <c r="S51" i="3"/>
  <c r="S50" i="3"/>
  <c r="R50" i="3"/>
  <c r="T50" i="3" s="1"/>
  <c r="S49" i="3"/>
  <c r="R49" i="3"/>
  <c r="T49" i="3" s="1"/>
  <c r="S48" i="3"/>
  <c r="R48" i="3"/>
  <c r="T48" i="3" s="1"/>
  <c r="R47" i="3"/>
  <c r="S47" i="3"/>
  <c r="S46" i="3"/>
  <c r="R46" i="3"/>
  <c r="T46" i="3" s="1"/>
  <c r="S45" i="3"/>
  <c r="R45" i="3"/>
  <c r="T45" i="3" s="1"/>
  <c r="R44" i="3"/>
  <c r="S44" i="3"/>
  <c r="S43" i="3"/>
  <c r="R43" i="3"/>
  <c r="T43" i="3" s="1"/>
  <c r="S42" i="3"/>
  <c r="R42" i="3"/>
  <c r="T42" i="3" s="1"/>
  <c r="S41" i="3"/>
  <c r="R41" i="3"/>
  <c r="T41" i="3" s="1"/>
  <c r="R40" i="3"/>
  <c r="S40" i="3"/>
  <c r="R39" i="3"/>
  <c r="T39" i="3" s="1"/>
  <c r="S39" i="3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S34" i="3"/>
  <c r="R34" i="3"/>
  <c r="T34" i="3" s="1"/>
  <c r="R33" i="3"/>
  <c r="S33" i="3"/>
  <c r="S32" i="3"/>
  <c r="R32" i="3"/>
  <c r="T32" i="3" s="1"/>
  <c r="R31" i="3"/>
  <c r="S31" i="3"/>
  <c r="S30" i="3"/>
  <c r="R30" i="3"/>
  <c r="T30" i="3" s="1"/>
  <c r="S29" i="3"/>
  <c r="R29" i="3"/>
  <c r="T29" i="3" s="1"/>
  <c r="R28" i="3"/>
  <c r="S28" i="3"/>
  <c r="R27" i="3"/>
  <c r="S27" i="3"/>
  <c r="R26" i="3"/>
  <c r="S26" i="3"/>
  <c r="R25" i="3"/>
  <c r="S25" i="3"/>
  <c r="R24" i="3"/>
  <c r="S24" i="3"/>
  <c r="S23" i="3"/>
  <c r="R23" i="3"/>
  <c r="T23" i="3" s="1"/>
  <c r="S22" i="3"/>
  <c r="R22" i="3"/>
  <c r="T22" i="3" s="1"/>
  <c r="S21" i="3"/>
  <c r="R21" i="3"/>
  <c r="T21" i="3" s="1"/>
  <c r="R20" i="3"/>
  <c r="S20" i="3"/>
  <c r="R19" i="3"/>
  <c r="S19" i="3"/>
  <c r="S18" i="3"/>
  <c r="R18" i="3"/>
  <c r="T18" i="3" s="1"/>
  <c r="R17" i="3"/>
  <c r="S17" i="3"/>
  <c r="L16" i="3"/>
  <c r="M16" i="3"/>
  <c r="O16" i="3" s="1"/>
  <c r="S16" i="3"/>
  <c r="S15" i="3"/>
  <c r="R15" i="3"/>
  <c r="T15" i="3" s="1"/>
  <c r="M14" i="3"/>
  <c r="O14" i="3" s="1"/>
  <c r="L14" i="3"/>
  <c r="S14" i="3"/>
  <c r="M13" i="3"/>
  <c r="O13" i="3" s="1"/>
  <c r="L13" i="3"/>
  <c r="S13" i="3"/>
  <c r="M12" i="3"/>
  <c r="O12" i="3" s="1"/>
  <c r="Q12" i="3" s="1"/>
  <c r="R12" i="3" s="1"/>
  <c r="L12" i="3"/>
  <c r="S12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L2" i="5" l="1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2" i="3"/>
  <c r="T8" i="3"/>
  <c r="T57" i="3"/>
  <c r="S2" i="3"/>
  <c r="Q11" i="3"/>
  <c r="R11" i="3" s="1"/>
  <c r="T11" i="3" s="1"/>
  <c r="T95" i="3"/>
  <c r="T75" i="3"/>
  <c r="T72" i="3"/>
  <c r="T63" i="3"/>
  <c r="T61" i="3"/>
  <c r="T47" i="3"/>
  <c r="Q16" i="3"/>
  <c r="R16" i="3" s="1"/>
  <c r="T16" i="3" s="1"/>
  <c r="Q14" i="3"/>
  <c r="R14" i="3"/>
  <c r="Q13" i="3"/>
  <c r="R13" i="3" s="1"/>
  <c r="T13" i="3" s="1"/>
  <c r="Q9" i="3"/>
  <c r="R9" i="3" s="1"/>
  <c r="T9" i="3" s="1"/>
  <c r="M2" i="3"/>
  <c r="O7" i="3"/>
  <c r="T4" i="3"/>
  <c r="T67" i="3"/>
  <c r="T59" i="3"/>
  <c r="T52" i="3"/>
  <c r="T33" i="3"/>
  <c r="T31" i="3"/>
  <c r="T27" i="3"/>
  <c r="T26" i="3"/>
  <c r="T25" i="3"/>
  <c r="T24" i="3"/>
  <c r="T20" i="3"/>
  <c r="T19" i="3"/>
  <c r="T17" i="3"/>
  <c r="T14" i="3"/>
  <c r="T68" i="3"/>
  <c r="T56" i="3"/>
  <c r="T44" i="3"/>
  <c r="T40" i="3"/>
  <c r="T28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<sst xmlns="http://schemas.openxmlformats.org/spreadsheetml/2006/main" count="338" uniqueCount="99">
  <si>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</si>
  <si>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</si>
  <si>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</si>
  <si>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</si>
  <si>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</si>
  <si>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</si>
  <si>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</si>
  <si>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</si>
  <si>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</si>
  <si>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</si>
  <si>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</si>
  <si>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</si>
  <si>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</si>
  <si>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</si>
  <si>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</si>
  <si>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</si>
  <si>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</si>
  <si>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</si>
  <si>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</si>
  <si>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</si>
  <si>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</si>
  <si>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</si>
  <si>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</si>
  <si>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</si>
  <si>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</si>
  <si>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</si>
  <si>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</si>
  <si>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</si>
  <si>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</si>
  <si>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</si>
  <si>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</si>
  <si>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</si>
  <si>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</si>
  <si>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</si>
  <si>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</si>
  <si>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</si>
  <si>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</si>
  <si>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</si>
  <si>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</si>
  <si>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</si>
  <si>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</si>
  <si>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</si>
  <si>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</si>
  <si>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</si>
  <si>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</si>
  <si>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</si>
  <si>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</si>
  <si>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</si>
  <si>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</si>
  <si>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</si>
  <si>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</si>
  <si>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</si>
  <si>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</si>
  <si>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</si>
  <si>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</si>
  <si>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</si>
  <si>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</si>
  <si>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</si>
  <si>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</si>
  <si>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</si>
  <si>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</si>
  <si>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</si>
  <si>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</si>
  <si>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</si>
  <si>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</si>
  <si>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</si>
  <si>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</si>
  <si>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</si>
  <si>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</si>
  <si>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</si>
  <si>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</si>
  <si>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</si>
  <si>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</si>
  <si>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</si>
  <si>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</si>
  <si>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</si>
  <si>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</si>
  <si>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</si>
  <si>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</si>
  <si>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</si>
  <si>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</si>
  <si>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</si>
  <si>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</si>
  <si>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</si>
  <si>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</si>
  <si>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</si>
  <si>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</si>
  <si>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</si>
  <si>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</si>
  <si>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</si>
  <si>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</si>
  <si>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</si>
  <si>
    <t>20260509-01</t>
  </si>
  <si>
    <t>20260508-03</t>
  </si>
  <si>
    <t>20260508-02</t>
  </si>
  <si>
    <t>Epifania Lopez</t>
  </si>
  <si>
    <t>20260511-01</t>
  </si>
  <si>
    <t>20260511-02</t>
  </si>
  <si>
    <t>20260511-03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</si>
</sst>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14" fontId="0" fillId="0" borderId="3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A13" zoomScale="80" zoomScaleNormal="80" workbookViewId="0">
      <selection activeCell="F26" sqref="F26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5789</v>
      </c>
      <c r="H2" s="5">
        <f>SUM(H4:H495)</f>
        <v>5789</v>
      </c>
      <c r="I2" s="6">
        <f>SUM(I4:I495)</f>
        <v>0</v>
      </c>
      <c r="J2" s="7">
        <f>SUM(J4:J495)</f>
        <v>0</v>
      </c>
      <c r="K2" s="8">
        <f>R2/H2</f>
        <v>165.78438417688722</v>
      </c>
      <c r="L2" s="8">
        <f>O2/(G2*17)</f>
        <v>10.835580665156026</v>
      </c>
      <c r="M2" s="8">
        <f>SUM(M4:M495)</f>
        <v>1070762</v>
      </c>
      <c r="N2" s="8">
        <f>SUM(N4:N495)</f>
        <v>4400</v>
      </c>
      <c r="O2" s="8">
        <f>SUM(O4:O495)</f>
        <v>1066362</v>
      </c>
      <c r="P2" s="9">
        <f>Q2/O2</f>
        <v>0.1</v>
      </c>
      <c r="Q2" s="8">
        <f>SUM(Q4:Q495)</f>
        <v>106636.20000000001</v>
      </c>
      <c r="R2" s="10">
        <f>SUM(R4:R495)</f>
        <v>959725.8</v>
      </c>
      <c r="S2" s="10">
        <f>SUM(S4:S495)</f>
        <v>0</v>
      </c>
      <c r="T2" s="10">
        <f>SUM(T4:T495)</f>
        <v>959725.8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24">
        <v>46146</v>
      </c>
      <c r="C26" s="25">
        <v>32</v>
      </c>
      <c r="D26" s="25" t="s">
        <v>20</v>
      </c>
      <c r="E26" s="25" t="s">
        <v>26</v>
      </c>
      <c r="F26" s="25" t="s">
        <v>22</v>
      </c>
      <c r="G26" s="28">
        <v>1248</v>
      </c>
      <c r="H26" s="29">
        <v>1248</v>
      </c>
      <c r="I26" s="19"/>
      <c r="J26" s="43">
        <f t="shared" si="5"/>
        <v>0</v>
      </c>
      <c r="K26" s="31">
        <f>7*17</f>
        <v>119</v>
      </c>
      <c r="L26" s="40">
        <f t="shared" si="6"/>
        <v>7</v>
      </c>
      <c r="M26" s="41">
        <f t="shared" si="0"/>
        <v>148512</v>
      </c>
      <c r="N26" s="27">
        <v>0</v>
      </c>
      <c r="O26" s="40">
        <f t="shared" si="1"/>
        <v>148512</v>
      </c>
      <c r="P26" s="32">
        <v>0.1</v>
      </c>
      <c r="Q26" s="40">
        <f t="shared" si="7"/>
        <v>14851.2</v>
      </c>
      <c r="R26" s="42">
        <f t="shared" si="2"/>
        <v>133660.79999999999</v>
      </c>
      <c r="S26" s="40">
        <f t="shared" si="3"/>
        <v>0</v>
      </c>
      <c r="T26" s="23">
        <f t="shared" si="4"/>
        <v>133660.79999999999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6"/>
        <v>0</v>
      </c>
      <c r="M31" s="41">
        <f t="shared" si="0"/>
        <v>0</v>
      </c>
      <c r="N31" s="27"/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topLeftCell="M1" workbookViewId="0">
      <selection activeCell="P6" sqref="P6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4"/>
  <sheetViews>
    <sheetView zoomScale="80" zoomScaleNormal="80" workbookViewId="0">
      <selection activeCell="M13" sqref="M13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1250</v>
      </c>
      <c r="H2" s="5">
        <f>SUM(H4:H494)</f>
        <v>1250</v>
      </c>
      <c r="I2" s="6">
        <f>SUM(I4:I494)</f>
        <v>0</v>
      </c>
      <c r="J2" s="7">
        <f>SUM(J4:J494)</f>
        <v>0</v>
      </c>
      <c r="K2" s="8">
        <f>R2/H2</f>
        <v>478.05431040000002</v>
      </c>
      <c r="L2" s="8">
        <f>O2/(G2*17)</f>
        <v>31.245379764705884</v>
      </c>
      <c r="M2" s="8">
        <f>SUM(M4:M494)</f>
        <v>663964.32000000007</v>
      </c>
      <c r="N2" s="8">
        <f>SUM(N4:N494)</f>
        <v>0</v>
      </c>
      <c r="O2" s="8">
        <f>SUM(O4:O494)</f>
        <v>663964.32000000007</v>
      </c>
      <c r="P2" s="9">
        <f>Q2/O2</f>
        <v>9.9999999999999992E-2</v>
      </c>
      <c r="Q2" s="8">
        <f>SUM(Q4:Q494)</f>
        <v>66396.432000000001</v>
      </c>
      <c r="R2" s="10">
        <f>SUM(R4:R494)</f>
        <v>597567.88800000004</v>
      </c>
      <c r="S2" s="10">
        <f>SUM(S4:S494)</f>
        <v>0</v>
      </c>
      <c r="T2" s="10">
        <f>SUM(T4:T494)</f>
        <v>597567.88800000004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5" si="0">K4*H4</f>
        <v>20400</v>
      </c>
      <c r="N4" s="21">
        <v>0</v>
      </c>
      <c r="O4" s="40">
        <f t="shared" ref="O4:O35" si="1">IF(H4="",0,M4-N4)</f>
        <v>20400</v>
      </c>
      <c r="P4" s="22">
        <v>0.1</v>
      </c>
      <c r="Q4" s="40">
        <f>O4*P4</f>
        <v>2040</v>
      </c>
      <c r="R4" s="42">
        <f t="shared" ref="R4:R35" si="2">IF(J4=0,O4-Q4,0)</f>
        <v>18360</v>
      </c>
      <c r="S4" s="40">
        <f t="shared" ref="S4:S35" si="3">IF(J4=0,0,(J4*K4)-N4-(J4*K4-N4)*P4)</f>
        <v>0</v>
      </c>
      <c r="T4" s="23">
        <f t="shared" ref="T4:T66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7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7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7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46153</v>
      </c>
      <c r="C12" s="25">
        <v>42</v>
      </c>
      <c r="D12" s="25" t="s">
        <v>20</v>
      </c>
      <c r="E12" s="25" t="s">
        <v>95</v>
      </c>
      <c r="F12" s="25" t="s">
        <v>34</v>
      </c>
      <c r="G12" s="26">
        <v>80</v>
      </c>
      <c r="H12" s="20">
        <v>80</v>
      </c>
      <c r="I12" s="44"/>
      <c r="J12" s="43">
        <f t="shared" si="5"/>
        <v>0</v>
      </c>
      <c r="K12" s="27">
        <v>430</v>
      </c>
      <c r="L12" s="40">
        <f t="shared" si="7"/>
        <v>25.294117647058822</v>
      </c>
      <c r="M12" s="41">
        <f t="shared" si="0"/>
        <v>34400</v>
      </c>
      <c r="N12" s="27">
        <v>0</v>
      </c>
      <c r="O12" s="40">
        <f t="shared" si="1"/>
        <v>34400</v>
      </c>
      <c r="P12" s="22">
        <v>0.1</v>
      </c>
      <c r="Q12" s="40">
        <f t="shared" si="6"/>
        <v>3440</v>
      </c>
      <c r="R12" s="42">
        <f t="shared" si="2"/>
        <v>30960</v>
      </c>
      <c r="S12" s="40">
        <f t="shared" si="3"/>
        <v>0</v>
      </c>
      <c r="T12" s="23">
        <f t="shared" si="4"/>
        <v>30960</v>
      </c>
    </row>
    <row r="13" spans="2:22" x14ac:dyDescent="0.25">
      <c r="B13" s="24">
        <v>46153</v>
      </c>
      <c r="C13" s="25">
        <v>43</v>
      </c>
      <c r="D13" s="25" t="s">
        <v>20</v>
      </c>
      <c r="E13" s="25" t="s">
        <v>23</v>
      </c>
      <c r="F13" s="25" t="s">
        <v>34</v>
      </c>
      <c r="G13" s="26">
        <v>39</v>
      </c>
      <c r="H13" s="20">
        <v>39</v>
      </c>
      <c r="I13" s="44"/>
      <c r="J13" s="43">
        <f t="shared" si="5"/>
        <v>0</v>
      </c>
      <c r="K13" s="27">
        <v>386.41</v>
      </c>
      <c r="L13" s="40">
        <f t="shared" si="7"/>
        <v>22.73</v>
      </c>
      <c r="M13" s="41">
        <f t="shared" si="0"/>
        <v>15069.990000000002</v>
      </c>
      <c r="N13" s="27">
        <v>0</v>
      </c>
      <c r="O13" s="40">
        <f t="shared" si="1"/>
        <v>15069.990000000002</v>
      </c>
      <c r="P13" s="22">
        <v>0.1</v>
      </c>
      <c r="Q13" s="40">
        <f t="shared" si="6"/>
        <v>1506.9990000000003</v>
      </c>
      <c r="R13" s="42">
        <f t="shared" si="2"/>
        <v>13562.991000000002</v>
      </c>
      <c r="S13" s="40">
        <f t="shared" si="3"/>
        <v>0</v>
      </c>
      <c r="T13" s="23">
        <f t="shared" si="4"/>
        <v>13562.991000000002</v>
      </c>
    </row>
    <row r="14" spans="2:22" x14ac:dyDescent="0.25">
      <c r="B14" s="24">
        <v>46153</v>
      </c>
      <c r="C14" s="25">
        <v>44</v>
      </c>
      <c r="D14" s="25" t="s">
        <v>20</v>
      </c>
      <c r="E14" s="25" t="s">
        <v>29</v>
      </c>
      <c r="F14" s="25" t="s">
        <v>34</v>
      </c>
      <c r="G14" s="26">
        <v>240</v>
      </c>
      <c r="H14" s="20">
        <v>240</v>
      </c>
      <c r="I14" s="19"/>
      <c r="J14" s="43">
        <f t="shared" si="5"/>
        <v>0</v>
      </c>
      <c r="K14" s="27">
        <v>400</v>
      </c>
      <c r="L14" s="40">
        <f t="shared" si="7"/>
        <v>23.529411764705884</v>
      </c>
      <c r="M14" s="41">
        <f t="shared" si="0"/>
        <v>96000</v>
      </c>
      <c r="N14" s="27">
        <v>0</v>
      </c>
      <c r="O14" s="40">
        <f t="shared" si="1"/>
        <v>96000</v>
      </c>
      <c r="P14" s="22">
        <v>0.1</v>
      </c>
      <c r="Q14" s="40">
        <f t="shared" si="6"/>
        <v>9600</v>
      </c>
      <c r="R14" s="42">
        <f t="shared" si="2"/>
        <v>86400</v>
      </c>
      <c r="S14" s="40">
        <f t="shared" si="3"/>
        <v>0</v>
      </c>
      <c r="T14" s="23">
        <f t="shared" si="4"/>
        <v>86400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7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6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7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6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7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6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7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6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7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6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ref="M36:M67" si="8">K36*H36</f>
        <v>0</v>
      </c>
      <c r="N36" s="27">
        <v>0</v>
      </c>
      <c r="O36" s="40">
        <f t="shared" ref="O36:O67" si="9">IF(H36="",0,M36-N36)</f>
        <v>0</v>
      </c>
      <c r="P36" s="32"/>
      <c r="Q36" s="40">
        <f t="shared" si="6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si="8"/>
        <v>0</v>
      </c>
      <c r="N37" s="27">
        <v>0</v>
      </c>
      <c r="O37" s="40">
        <f t="shared" si="9"/>
        <v>0</v>
      </c>
      <c r="P37" s="32"/>
      <c r="Q37" s="40">
        <f t="shared" si="6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ref="T67:T104" si="12">R67+S67</f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ref="J68:J104" si="13">G68-H68-I68</f>
        <v>0</v>
      </c>
      <c r="K68" s="27"/>
      <c r="L68" s="40">
        <f t="shared" ref="L68:L104" si="14">K68/17</f>
        <v>0</v>
      </c>
      <c r="M68" s="41">
        <f t="shared" ref="M68:M104" si="15">K68*H68</f>
        <v>0</v>
      </c>
      <c r="N68" s="27">
        <v>0</v>
      </c>
      <c r="O68" s="40">
        <f t="shared" ref="O68:O99" si="16">IF(H68="",0,M68-N68)</f>
        <v>0</v>
      </c>
      <c r="P68" s="32"/>
      <c r="Q68" s="40">
        <f t="shared" ref="Q68:Q104" si="17">O68*P68</f>
        <v>0</v>
      </c>
      <c r="R68" s="42">
        <f t="shared" ref="R68:R99" si="18">IF(J68=0,O68-Q68,0)</f>
        <v>0</v>
      </c>
      <c r="S68" s="40">
        <f t="shared" ref="S68:S104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31"/>
      <c r="L69" s="40">
        <f t="shared" si="14"/>
        <v>0</v>
      </c>
      <c r="M69" s="41">
        <f t="shared" si="15"/>
        <v>0</v>
      </c>
      <c r="N69" s="27">
        <v>0</v>
      </c>
      <c r="O69" s="40">
        <f t="shared" si="16"/>
        <v>0</v>
      </c>
      <c r="P69" s="32"/>
      <c r="Q69" s="40">
        <f t="shared" si="17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ref="O100:O104" si="20">IF(H100="",0,M100-N100)</f>
        <v>0</v>
      </c>
      <c r="P100" s="32"/>
      <c r="Q100" s="40">
        <f t="shared" si="17"/>
        <v>0</v>
      </c>
      <c r="R100" s="42">
        <f t="shared" ref="R100:R104" si="21">IF(J100=0,O100-Q100,0)</f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si="20"/>
        <v>0</v>
      </c>
      <c r="P101" s="32"/>
      <c r="Q101" s="40">
        <f t="shared" si="17"/>
        <v>0</v>
      </c>
      <c r="R101" s="42">
        <f t="shared" si="21"/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27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</sheetData>
  <conditionalFormatting sqref="R4:R104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A19" zoomScale="80" zoomScaleNormal="80" workbookViewId="0">
      <selection activeCell="C30" sqref="C30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10.835580665156026</v>
      </c>
      <c r="J1" s="140" t="s">
        <v>36</v>
      </c>
    </row>
    <row r="2" spans="2:16" ht="16.5" thickBot="1" x14ac:dyDescent="0.3">
      <c r="C2" s="49" t="s">
        <v>17</v>
      </c>
      <c r="F2" s="50">
        <f>SUM(F4:F391)</f>
        <v>5789</v>
      </c>
      <c r="G2" s="51">
        <f>I2/F2</f>
        <v>184.20487130765244</v>
      </c>
      <c r="H2" s="52">
        <f>SUM(H4:H391)</f>
        <v>4400</v>
      </c>
      <c r="I2" s="53">
        <f>SUM(I4:I391)</f>
        <v>1066362</v>
      </c>
      <c r="J2" s="54">
        <f>O39</f>
        <v>706265</v>
      </c>
      <c r="K2" s="55">
        <f>O45</f>
        <v>360097</v>
      </c>
      <c r="L2" s="56" t="s">
        <v>37</v>
      </c>
      <c r="O2" s="46" t="s">
        <v>38</v>
      </c>
    </row>
    <row r="3" spans="2:16" ht="15.75" thickBot="1" x14ac:dyDescent="0.3">
      <c r="B3" s="57" t="s">
        <v>1</v>
      </c>
      <c r="C3" s="58" t="s">
        <v>2</v>
      </c>
      <c r="D3" s="59" t="s">
        <v>39</v>
      </c>
      <c r="E3" s="59" t="s">
        <v>4</v>
      </c>
      <c r="F3" s="60" t="s">
        <v>40</v>
      </c>
      <c r="G3" s="61" t="s">
        <v>10</v>
      </c>
      <c r="H3" s="62" t="s">
        <v>13</v>
      </c>
      <c r="I3" s="63" t="s">
        <v>41</v>
      </c>
      <c r="J3" s="64" t="s">
        <v>42</v>
      </c>
      <c r="K3" s="65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44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45</v>
      </c>
      <c r="K4" s="68">
        <f>[1]VENTAS!R2</f>
        <v>691969.5</v>
      </c>
      <c r="L4" s="56" t="s">
        <v>46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47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45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48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45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49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45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50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45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51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45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52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45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53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54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55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45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56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45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57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45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58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45</v>
      </c>
      <c r="K15" s="73">
        <f t="shared" si="1"/>
        <v>15</v>
      </c>
      <c r="L15" s="74"/>
      <c r="M15" s="74"/>
      <c r="N15" s="71"/>
      <c r="O15" s="72"/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59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45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59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60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54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61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45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62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45</v>
      </c>
      <c r="N20" s="71"/>
      <c r="O20" s="72"/>
    </row>
    <row r="21" spans="2:15" ht="15.75" thickBot="1" x14ac:dyDescent="0.3">
      <c r="B21" s="107">
        <f>Tomatillo!B21</f>
        <v>46046</v>
      </c>
      <c r="C21" s="108">
        <f>Tomatillo!C21</f>
        <v>21</v>
      </c>
      <c r="D21" s="158" t="s">
        <v>63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45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64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54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65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54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66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54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67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54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68</v>
      </c>
      <c r="E26" s="81" t="str">
        <f>Tomatillo!E26</f>
        <v>Porfirio Casarez</v>
      </c>
      <c r="F26" s="82">
        <f>Tomatillo!G26</f>
        <v>1248</v>
      </c>
      <c r="G26" s="83">
        <f>Tomatillo!K26</f>
        <v>119</v>
      </c>
      <c r="H26" s="93">
        <v>0</v>
      </c>
      <c r="I26" s="84">
        <f t="shared" si="3"/>
        <v>148512</v>
      </c>
      <c r="J26" s="94" t="s">
        <v>54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69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54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70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45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71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45</v>
      </c>
      <c r="N29" s="71"/>
      <c r="O29" s="72"/>
    </row>
    <row r="30" spans="2:15" ht="15.75" thickBot="1" x14ac:dyDescent="0.3">
      <c r="B30" s="136">
        <f>Tomatillo!B30</f>
        <v>46150</v>
      </c>
      <c r="C30" s="81">
        <f>Tomatillo!C30</f>
        <v>37</v>
      </c>
      <c r="D30" s="86" t="s">
        <v>92</v>
      </c>
      <c r="E30" s="81" t="str">
        <f>Tomatillo!E30</f>
        <v>Efrén Medina</v>
      </c>
      <c r="F30" s="82">
        <f>Tomatillo!G30</f>
        <v>120</v>
      </c>
      <c r="G30" s="83">
        <f>Tomatillo!K30</f>
        <v>136</v>
      </c>
      <c r="H30" s="75">
        <v>0</v>
      </c>
      <c r="I30" s="84">
        <f t="shared" ref="I30" si="4">F30*G30-H30</f>
        <v>16320</v>
      </c>
      <c r="J30" s="94" t="s">
        <v>54</v>
      </c>
      <c r="N30" s="71"/>
      <c r="O30" s="72"/>
    </row>
    <row r="31" spans="2:15" ht="15.75" thickBot="1" x14ac:dyDescent="0.3">
      <c r="B31" s="136"/>
      <c r="C31" s="81"/>
      <c r="D31" s="85"/>
      <c r="E31" s="85"/>
      <c r="F31" s="25"/>
      <c r="G31" s="75"/>
      <c r="H31" s="75"/>
      <c r="I31" s="93"/>
      <c r="J31" s="92"/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706265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72</v>
      </c>
      <c r="O41" s="67">
        <f>Tomatillo!Q2</f>
        <v>106636.20000000001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73</v>
      </c>
      <c r="O43" s="67">
        <f>Tomatillo!T2</f>
        <v>959725.8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74</v>
      </c>
      <c r="O45" s="67">
        <f>+O43+O41-O39</f>
        <v>360097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abSelected="1" zoomScale="80" zoomScaleNormal="80" workbookViewId="0">
      <selection activeCell="J17" sqref="J17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31.245379764705884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1250</v>
      </c>
      <c r="G2" s="146">
        <f>I2/F2</f>
        <v>531.17145600000003</v>
      </c>
      <c r="H2" s="147">
        <f>SUM(H4:H390)</f>
        <v>0</v>
      </c>
      <c r="I2" s="53">
        <f>SUM(I4:I390)</f>
        <v>663964.32000000007</v>
      </c>
      <c r="J2" s="148">
        <f>O38</f>
        <v>498095</v>
      </c>
      <c r="K2" s="55">
        <f>O44</f>
        <v>165869.32000000007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v>46135</v>
      </c>
      <c r="C4" s="150">
        <v>19</v>
      </c>
      <c r="D4" s="150" t="s">
        <v>75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54</v>
      </c>
      <c r="K4" s="142">
        <f>[1]VENTAS!R2</f>
        <v>691969.5</v>
      </c>
      <c r="L4" s="56" t="s">
        <v>46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76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45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77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45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78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45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79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45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70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45</v>
      </c>
      <c r="K9" s="73"/>
      <c r="N9" s="71"/>
      <c r="O9" s="72"/>
    </row>
    <row r="10" spans="2:16" x14ac:dyDescent="0.25">
      <c r="B10" s="173">
        <f>Roma!B10</f>
        <v>46150</v>
      </c>
      <c r="C10" s="113">
        <f>Roma!C10</f>
        <v>38</v>
      </c>
      <c r="D10" s="113" t="s">
        <v>94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45</v>
      </c>
      <c r="K10" s="73"/>
      <c r="N10" s="71"/>
      <c r="O10" s="72"/>
    </row>
    <row r="11" spans="2:16" x14ac:dyDescent="0.25">
      <c r="B11" s="173">
        <f>Roma!B11</f>
        <v>46150</v>
      </c>
      <c r="C11" s="113">
        <f>Roma!C11</f>
        <v>39</v>
      </c>
      <c r="D11" s="113" t="s">
        <v>93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45</v>
      </c>
      <c r="K11" s="73"/>
      <c r="L11" s="79"/>
      <c r="N11" s="71"/>
      <c r="O11" s="72"/>
    </row>
    <row r="12" spans="2:16" x14ac:dyDescent="0.25">
      <c r="B12" s="176">
        <f>Roma!B12</f>
        <v>46153</v>
      </c>
      <c r="C12" s="175">
        <f>Roma!C12</f>
        <v>42</v>
      </c>
      <c r="D12" s="175" t="s">
        <v>96</v>
      </c>
      <c r="E12" s="175" t="str">
        <f>Roma!E12</f>
        <v>Epifania Lopez</v>
      </c>
      <c r="F12" s="177">
        <f>Roma!H12</f>
        <v>80</v>
      </c>
      <c r="G12" s="75">
        <f>Roma!K12</f>
        <v>430</v>
      </c>
      <c r="H12" s="84">
        <v>0</v>
      </c>
      <c r="I12" s="75">
        <f t="shared" si="0"/>
        <v>34400</v>
      </c>
      <c r="J12" s="178" t="s">
        <v>54</v>
      </c>
      <c r="K12" s="73"/>
      <c r="N12" s="71"/>
      <c r="O12" s="72"/>
    </row>
    <row r="13" spans="2:16" x14ac:dyDescent="0.25">
      <c r="B13" s="176">
        <f>Roma!B13</f>
        <v>46153</v>
      </c>
      <c r="C13" s="175">
        <f>Roma!C13</f>
        <v>43</v>
      </c>
      <c r="D13" s="175" t="s">
        <v>97</v>
      </c>
      <c r="E13" s="175" t="str">
        <f>Roma!E13</f>
        <v>Mayojoa</v>
      </c>
      <c r="F13" s="177">
        <f>Roma!H13</f>
        <v>39</v>
      </c>
      <c r="G13" s="75">
        <f>Roma!K13</f>
        <v>386.41</v>
      </c>
      <c r="H13" s="84">
        <v>0</v>
      </c>
      <c r="I13" s="75">
        <f>F13*G13-H13</f>
        <v>15069.990000000002</v>
      </c>
      <c r="J13" s="178" t="s">
        <v>54</v>
      </c>
      <c r="K13" s="73"/>
      <c r="N13" s="71"/>
      <c r="O13" s="72"/>
    </row>
    <row r="14" spans="2:16" x14ac:dyDescent="0.25">
      <c r="B14" s="176">
        <f>Roma!B14</f>
        <v>46153</v>
      </c>
      <c r="C14" s="175">
        <f>Roma!C14</f>
        <v>44</v>
      </c>
      <c r="D14" s="175" t="s">
        <v>98</v>
      </c>
      <c r="E14" s="175" t="str">
        <f>Roma!E14</f>
        <v>Efrén Medina</v>
      </c>
      <c r="F14" s="177">
        <f>Roma!H14</f>
        <v>240</v>
      </c>
      <c r="G14" s="75">
        <f>Roma!K14</f>
        <v>400</v>
      </c>
      <c r="H14" s="84">
        <v>0</v>
      </c>
      <c r="I14" s="75">
        <f t="shared" ref="I14:I18" si="2">F14*G14-H14</f>
        <v>96000</v>
      </c>
      <c r="J14" s="178" t="s">
        <v>54</v>
      </c>
      <c r="K14" s="73"/>
      <c r="L14" s="74"/>
      <c r="M14" s="74"/>
      <c r="N14" s="71"/>
      <c r="O14" s="72"/>
    </row>
    <row r="15" spans="2:16" x14ac:dyDescent="0.25">
      <c r="B15" s="91"/>
      <c r="C15" s="175"/>
      <c r="D15" s="85"/>
      <c r="E15" s="85"/>
      <c r="F15" s="25"/>
      <c r="G15" s="75"/>
      <c r="H15" s="84"/>
      <c r="I15" s="75"/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/>
      <c r="I16" s="75"/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/>
      <c r="I17" s="75"/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/>
      <c r="I18" s="75"/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498095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Roma!Q2</f>
        <v>66396.432000000001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+Roma!R2</f>
        <v>597567.88800000004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165869.32000000007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H6" sqref="H6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14.937611408199643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0</v>
      </c>
      <c r="K2" s="55">
        <f>O44</f>
        <v>8380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80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54</v>
      </c>
      <c r="K4" s="142">
        <f>[1]VENTAS!R2</f>
        <v>691969.5</v>
      </c>
      <c r="L4" s="56" t="s">
        <v>46</v>
      </c>
      <c r="N4" s="69"/>
      <c r="O4" s="70"/>
    </row>
    <row r="5" spans="2:16" x14ac:dyDescent="0.25">
      <c r="B5" s="149">
        <f>Morrón!B5</f>
        <v>46151</v>
      </c>
      <c r="C5" s="150">
        <f>Morrón!C5</f>
        <v>40</v>
      </c>
      <c r="D5" s="85" t="s">
        <v>92</v>
      </c>
      <c r="E5" s="150" t="str">
        <f>Morrón!E5</f>
        <v>Mayojoa</v>
      </c>
      <c r="F5" s="19">
        <f>Morrón!G5</f>
        <v>23</v>
      </c>
      <c r="G5" s="84">
        <f>Morrón!K5</f>
        <v>260</v>
      </c>
      <c r="H5" s="84">
        <v>0</v>
      </c>
      <c r="I5" s="84">
        <f t="shared" ref="I5" si="1">F5*G5-H5</f>
        <v>5980</v>
      </c>
      <c r="J5" s="157" t="s">
        <v>54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8380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 x14ac:dyDescent="0.25">
      <c r="D2" s="169" t="s">
        <v>81</v>
      </c>
    </row>
    <row r="3" spans="4:12" x14ac:dyDescent="0.25">
      <c r="E3" s="47"/>
      <c r="F3" s="47"/>
      <c r="G3" s="47"/>
      <c r="H3" s="47"/>
      <c r="I3" s="47"/>
      <c r="J3" s="47"/>
      <c r="K3" s="47"/>
      <c r="L3" s="47"/>
    </row>
    <row r="4" spans="4:12" ht="23.25" customHeight="1" x14ac:dyDescent="0.25">
      <c r="E4" s="170" t="s">
        <v>82</v>
      </c>
      <c r="F4" s="170" t="s">
        <v>83</v>
      </c>
      <c r="G4" s="170" t="s">
        <v>84</v>
      </c>
      <c r="H4" s="170"/>
      <c r="I4" s="170" t="s">
        <v>85</v>
      </c>
      <c r="J4" s="170" t="s">
        <v>86</v>
      </c>
      <c r="K4" s="170" t="s">
        <v>87</v>
      </c>
      <c r="L4" s="47"/>
    </row>
    <row r="5" spans="4:12" ht="23.25" customHeight="1" x14ac:dyDescent="0.25">
      <c r="D5" t="s">
        <v>88</v>
      </c>
      <c r="E5" s="167">
        <f>+Tomatillo!O2</f>
        <v>1066362</v>
      </c>
      <c r="F5" s="167">
        <f>+'Estado de Cuenta T'!O39</f>
        <v>706265</v>
      </c>
      <c r="G5" s="171">
        <f>+E5-F5</f>
        <v>360097</v>
      </c>
      <c r="H5" s="167"/>
      <c r="I5" s="167">
        <f>+Tomatillo!Q2</f>
        <v>106636.20000000001</v>
      </c>
      <c r="J5" s="167">
        <v>60149</v>
      </c>
      <c r="K5" s="167">
        <f>+G5-I5+J5</f>
        <v>313609.8</v>
      </c>
    </row>
    <row r="6" spans="4:12" ht="23.25" customHeight="1" x14ac:dyDescent="0.25">
      <c r="D6" t="s">
        <v>89</v>
      </c>
      <c r="E6" s="167">
        <f>+Roma!O2</f>
        <v>663964.32000000007</v>
      </c>
      <c r="F6" s="167">
        <f>+'Estado de Cuenta R'!O38</f>
        <v>498095</v>
      </c>
      <c r="G6" s="171">
        <f>+E6-F6</f>
        <v>165869.32000000007</v>
      </c>
      <c r="H6" s="167"/>
      <c r="I6" s="167">
        <f>+Roma!Q2</f>
        <v>66396.432000000001</v>
      </c>
      <c r="J6" s="167">
        <v>11968</v>
      </c>
      <c r="K6" s="167">
        <f t="shared" ref="K6:K7" si="0">+G6-I6+J6</f>
        <v>111440.88800000006</v>
      </c>
    </row>
    <row r="7" spans="4:12" ht="23.25" customHeight="1" x14ac:dyDescent="0.25">
      <c r="D7" t="s">
        <v>90</v>
      </c>
      <c r="E7" s="167">
        <f>+Morrón!O2</f>
        <v>8380</v>
      </c>
      <c r="F7" s="167">
        <f>+'Estado de Cuenta M'!O38</f>
        <v>0</v>
      </c>
      <c r="G7" s="171">
        <f>+E7-F7</f>
        <v>8380</v>
      </c>
      <c r="H7" s="167"/>
      <c r="I7" s="167">
        <f>+Morrón!Q2</f>
        <v>838</v>
      </c>
      <c r="J7" s="167">
        <v>0</v>
      </c>
      <c r="K7" s="167">
        <f t="shared" si="0"/>
        <v>7542</v>
      </c>
    </row>
    <row r="8" spans="4:12" ht="23.25" customHeight="1" x14ac:dyDescent="0.25">
      <c r="E8" s="167"/>
      <c r="F8" s="167"/>
      <c r="G8" s="171"/>
      <c r="H8" s="167"/>
      <c r="I8" s="167"/>
      <c r="J8" s="167"/>
      <c r="K8" s="167"/>
    </row>
    <row r="9" spans="4:12" ht="23.25" customHeight="1" x14ac:dyDescent="0.25">
      <c r="E9" s="168">
        <f>SUM(E5:E8)</f>
        <v>1738706.32</v>
      </c>
      <c r="F9" s="168">
        <f>SUM(F5:F8)</f>
        <v>1204360</v>
      </c>
      <c r="G9" s="172">
        <f>SUM(G5:G8)</f>
        <v>534346.32000000007</v>
      </c>
      <c r="H9" s="168"/>
      <c r="I9" s="168">
        <f>SUM(I5:I8)</f>
        <v>173870.63200000001</v>
      </c>
      <c r="J9" s="168">
        <f>SUM(J5:J8)</f>
        <v>72117</v>
      </c>
      <c r="K9" s="168">
        <f>+G9-I9+J9</f>
        <v>432592.68800000008</v>
      </c>
    </row>
    <row r="10" spans="4:12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 x14ac:dyDescent="0.25">
      <c r="E11" s="167"/>
      <c r="F11" s="167"/>
      <c r="G11" s="167"/>
      <c r="H11" s="167"/>
      <c r="I11" s="167">
        <f>+I9-J9</f>
        <v>101753.63200000001</v>
      </c>
      <c r="J11" s="167"/>
      <c r="K11" s="166"/>
      <c r="L11" s="167"/>
    </row>
    <row r="12" spans="4:12" x14ac:dyDescent="0.25">
      <c r="E12" s="167"/>
      <c r="F12" s="167"/>
      <c r="G12" s="167"/>
      <c r="H12" s="167"/>
      <c r="I12" s="167" t="s">
        <v>91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2026-05-12T01:46:06Z</dcterms:modified>
  <cp:category/>
  <cp:contentStatus/>
</cp:coreProperties>
</file>