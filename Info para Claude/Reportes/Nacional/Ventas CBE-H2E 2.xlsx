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64c979621066deb/Comercial Batiz Esquer/"/>
    </mc:Choice>
  </mc:AlternateContent>
  <xr:revisionPtr revIDLastSave="1610" documentId="8_{101B3648-96E3-491A-B0FE-FBAE7237A7DD}" xr6:coauthVersionLast="47" xr6:coauthVersionMax="47" xr10:uidLastSave="{50BE2939-4C9C-4BC2-8F23-52F802B58402}"/>
  <bookViews>
    <workbookView xWindow="-120" yWindow="-120" windowWidth="20730" windowHeight="11160" firstSheet="1" activeTab="4" xr2:uid="{8B7D4835-F937-4749-8FAF-12E1D8931F8E}"/>
  </bookViews>
  <sheets>
    <sheet name="Tomatillo" sheetId="1" r:id="rId1"/>
    <sheet name="Morrón" sheetId="5" r:id="rId2"/>
    <sheet name="Roma" sheetId="3" r:id="rId3"/>
    <sheet name="Estado de Cuenta T" sheetId="2" r:id="rId4"/>
    <sheet name="Estado de Cuenta R" sheetId="4" r:id="rId5"/>
    <sheet name="Estado de Cuenta M" sheetId="6" r:id="rId6"/>
    <sheet name="acum" sheetId="8" r:id="rId7"/>
  </sheets>
  <externalReferences>
    <externalReference r:id="rId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4" l="1"/>
  <c r="G18" i="4"/>
  <c r="I18" i="4"/>
  <c r="B18" i="4"/>
  <c r="C18" i="4"/>
  <c r="E16" i="4"/>
  <c r="E17" i="4"/>
  <c r="E18" i="4"/>
  <c r="E15" i="4"/>
  <c r="F16" i="4"/>
  <c r="G16" i="4"/>
  <c r="I16" i="4"/>
  <c r="F17" i="4"/>
  <c r="G17" i="4"/>
  <c r="I17" i="4"/>
  <c r="B16" i="4"/>
  <c r="C16" i="4"/>
  <c r="B17" i="4"/>
  <c r="C17" i="4"/>
  <c r="K27" i="1"/>
  <c r="K26" i="1"/>
  <c r="L26" i="1"/>
  <c r="O15" i="2"/>
  <c r="E31" i="2"/>
  <c r="F31" i="2"/>
  <c r="G31" i="2"/>
  <c r="I31" i="2"/>
  <c r="B31" i="2"/>
  <c r="C31" i="2"/>
  <c r="F15" i="4"/>
  <c r="I15" i="4" s="1"/>
  <c r="G15" i="4"/>
  <c r="B15" i="4"/>
  <c r="C15" i="4"/>
  <c r="K31" i="1"/>
  <c r="S12" i="3"/>
  <c r="O12" i="3"/>
  <c r="L12" i="3"/>
  <c r="M12" i="3"/>
  <c r="J12" i="3"/>
  <c r="G12" i="4"/>
  <c r="G13" i="4"/>
  <c r="G14" i="4"/>
  <c r="F12" i="4"/>
  <c r="I12" i="4" s="1"/>
  <c r="F13" i="4"/>
  <c r="F14" i="4"/>
  <c r="I14" i="4" s="1"/>
  <c r="E12" i="4"/>
  <c r="E13" i="4"/>
  <c r="E14" i="4"/>
  <c r="B12" i="4"/>
  <c r="B13" i="4"/>
  <c r="B14" i="4"/>
  <c r="C14" i="4"/>
  <c r="C12" i="4"/>
  <c r="C13" i="4"/>
  <c r="E13" i="2"/>
  <c r="E5" i="6"/>
  <c r="F5" i="6"/>
  <c r="I5" i="6" s="1"/>
  <c r="G5" i="6"/>
  <c r="B5" i="6"/>
  <c r="C5" i="6"/>
  <c r="I30" i="2"/>
  <c r="G30" i="2"/>
  <c r="F30" i="2"/>
  <c r="E30" i="2"/>
  <c r="B30" i="2"/>
  <c r="C30" i="2"/>
  <c r="O8" i="4"/>
  <c r="G9" i="4"/>
  <c r="G10" i="4"/>
  <c r="G11" i="4"/>
  <c r="F9" i="4"/>
  <c r="I9" i="4" s="1"/>
  <c r="F10" i="4"/>
  <c r="I10" i="4" s="1"/>
  <c r="F11" i="4"/>
  <c r="I11" i="4" s="1"/>
  <c r="E11" i="4"/>
  <c r="B11" i="4"/>
  <c r="C11" i="4"/>
  <c r="E9" i="4"/>
  <c r="E10" i="4"/>
  <c r="B9" i="4"/>
  <c r="B10" i="4"/>
  <c r="C9" i="4"/>
  <c r="C10" i="4"/>
  <c r="I29" i="2"/>
  <c r="G29" i="2"/>
  <c r="F29" i="2"/>
  <c r="E29" i="2"/>
  <c r="C29" i="2"/>
  <c r="B29" i="2"/>
  <c r="I27" i="2"/>
  <c r="I28" i="2"/>
  <c r="G27" i="2"/>
  <c r="G28" i="2"/>
  <c r="F27" i="2"/>
  <c r="F28" i="2"/>
  <c r="E27" i="2"/>
  <c r="E28" i="2"/>
  <c r="B28" i="2"/>
  <c r="C27" i="2"/>
  <c r="C28" i="2"/>
  <c r="B27" i="2"/>
  <c r="K29" i="1"/>
  <c r="L29" i="1" s="1"/>
  <c r="K28" i="1"/>
  <c r="L28" i="1" s="1"/>
  <c r="G24" i="1"/>
  <c r="L27" i="1"/>
  <c r="F8" i="4"/>
  <c r="E8" i="4"/>
  <c r="C8" i="4"/>
  <c r="B8" i="4"/>
  <c r="K8" i="3"/>
  <c r="G8" i="4" s="1"/>
  <c r="I8" i="4" s="1"/>
  <c r="F26" i="2"/>
  <c r="E26" i="2"/>
  <c r="C26" i="2"/>
  <c r="B26" i="2"/>
  <c r="E7" i="4"/>
  <c r="B7" i="4"/>
  <c r="C7" i="4"/>
  <c r="G24" i="2"/>
  <c r="F23" i="2"/>
  <c r="F25" i="2"/>
  <c r="E23" i="2"/>
  <c r="E24" i="2"/>
  <c r="E25" i="2"/>
  <c r="B23" i="2"/>
  <c r="B24" i="2"/>
  <c r="B25" i="2"/>
  <c r="C25" i="2"/>
  <c r="C23" i="2"/>
  <c r="C24" i="2"/>
  <c r="K25" i="1"/>
  <c r="F24" i="2"/>
  <c r="I24" i="2" s="1"/>
  <c r="K23" i="1"/>
  <c r="G6" i="4"/>
  <c r="F6" i="4"/>
  <c r="E6" i="4"/>
  <c r="C6" i="4"/>
  <c r="B6" i="4"/>
  <c r="H5" i="4"/>
  <c r="H2" i="4" s="1"/>
  <c r="G5" i="4"/>
  <c r="F5" i="4"/>
  <c r="E5" i="4"/>
  <c r="C5" i="4"/>
  <c r="B5" i="4"/>
  <c r="J9" i="8"/>
  <c r="J5" i="3"/>
  <c r="M5" i="3"/>
  <c r="O5" i="3" s="1"/>
  <c r="J6" i="3"/>
  <c r="L6" i="3"/>
  <c r="M6" i="3"/>
  <c r="J7" i="3"/>
  <c r="L7" i="3"/>
  <c r="M7" i="3"/>
  <c r="J8" i="3"/>
  <c r="L8" i="3"/>
  <c r="M8" i="3"/>
  <c r="G4" i="6"/>
  <c r="F4" i="6"/>
  <c r="E4" i="6"/>
  <c r="C4" i="6"/>
  <c r="B4" i="6"/>
  <c r="O38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H2" i="6"/>
  <c r="F2" i="6"/>
  <c r="O104" i="5"/>
  <c r="Q104" i="5" s="1"/>
  <c r="M104" i="5"/>
  <c r="L104" i="5"/>
  <c r="J104" i="5"/>
  <c r="O103" i="5"/>
  <c r="Q103" i="5" s="1"/>
  <c r="M103" i="5"/>
  <c r="L103" i="5"/>
  <c r="J103" i="5"/>
  <c r="O102" i="5"/>
  <c r="Q102" i="5" s="1"/>
  <c r="M102" i="5"/>
  <c r="L102" i="5"/>
  <c r="J102" i="5"/>
  <c r="O101" i="5"/>
  <c r="Q101" i="5" s="1"/>
  <c r="M101" i="5"/>
  <c r="L101" i="5"/>
  <c r="J101" i="5"/>
  <c r="O100" i="5"/>
  <c r="Q100" i="5" s="1"/>
  <c r="M100" i="5"/>
  <c r="L100" i="5"/>
  <c r="J100" i="5"/>
  <c r="O99" i="5"/>
  <c r="Q99" i="5" s="1"/>
  <c r="M99" i="5"/>
  <c r="L99" i="5"/>
  <c r="J99" i="5"/>
  <c r="O98" i="5"/>
  <c r="Q98" i="5" s="1"/>
  <c r="M98" i="5"/>
  <c r="L98" i="5"/>
  <c r="J98" i="5"/>
  <c r="O97" i="5"/>
  <c r="Q97" i="5" s="1"/>
  <c r="M97" i="5"/>
  <c r="L97" i="5"/>
  <c r="J97" i="5"/>
  <c r="O96" i="5"/>
  <c r="Q96" i="5" s="1"/>
  <c r="M96" i="5"/>
  <c r="L96" i="5"/>
  <c r="J96" i="5"/>
  <c r="O95" i="5"/>
  <c r="Q95" i="5" s="1"/>
  <c r="M95" i="5"/>
  <c r="L95" i="5"/>
  <c r="J95" i="5"/>
  <c r="O94" i="5"/>
  <c r="Q94" i="5" s="1"/>
  <c r="M94" i="5"/>
  <c r="L94" i="5"/>
  <c r="J94" i="5"/>
  <c r="O93" i="5"/>
  <c r="Q93" i="5" s="1"/>
  <c r="M93" i="5"/>
  <c r="L93" i="5"/>
  <c r="J93" i="5"/>
  <c r="O92" i="5"/>
  <c r="Q92" i="5" s="1"/>
  <c r="M92" i="5"/>
  <c r="L92" i="5"/>
  <c r="J92" i="5"/>
  <c r="O91" i="5"/>
  <c r="Q91" i="5" s="1"/>
  <c r="M91" i="5"/>
  <c r="L91" i="5"/>
  <c r="J91" i="5"/>
  <c r="O90" i="5"/>
  <c r="Q90" i="5" s="1"/>
  <c r="M90" i="5"/>
  <c r="L90" i="5"/>
  <c r="J90" i="5"/>
  <c r="O89" i="5"/>
  <c r="Q89" i="5" s="1"/>
  <c r="M89" i="5"/>
  <c r="L89" i="5"/>
  <c r="J89" i="5"/>
  <c r="O88" i="5"/>
  <c r="Q88" i="5" s="1"/>
  <c r="M88" i="5"/>
  <c r="L88" i="5"/>
  <c r="J88" i="5"/>
  <c r="O87" i="5"/>
  <c r="Q87" i="5" s="1"/>
  <c r="M87" i="5"/>
  <c r="L87" i="5"/>
  <c r="J87" i="5"/>
  <c r="O86" i="5"/>
  <c r="Q86" i="5" s="1"/>
  <c r="M86" i="5"/>
  <c r="L86" i="5"/>
  <c r="J86" i="5"/>
  <c r="O85" i="5"/>
  <c r="Q85" i="5" s="1"/>
  <c r="M85" i="5"/>
  <c r="L85" i="5"/>
  <c r="J85" i="5"/>
  <c r="O84" i="5"/>
  <c r="Q84" i="5" s="1"/>
  <c r="M84" i="5"/>
  <c r="L84" i="5"/>
  <c r="J84" i="5"/>
  <c r="O83" i="5"/>
  <c r="Q83" i="5" s="1"/>
  <c r="M83" i="5"/>
  <c r="L83" i="5"/>
  <c r="J83" i="5"/>
  <c r="O82" i="5"/>
  <c r="Q82" i="5" s="1"/>
  <c r="M82" i="5"/>
  <c r="L82" i="5"/>
  <c r="J82" i="5"/>
  <c r="O81" i="5"/>
  <c r="Q81" i="5" s="1"/>
  <c r="M81" i="5"/>
  <c r="L81" i="5"/>
  <c r="J81" i="5"/>
  <c r="O80" i="5"/>
  <c r="Q80" i="5" s="1"/>
  <c r="M80" i="5"/>
  <c r="L80" i="5"/>
  <c r="J80" i="5"/>
  <c r="O79" i="5"/>
  <c r="Q79" i="5" s="1"/>
  <c r="M79" i="5"/>
  <c r="L79" i="5"/>
  <c r="J79" i="5"/>
  <c r="O78" i="5"/>
  <c r="Q78" i="5" s="1"/>
  <c r="M78" i="5"/>
  <c r="L78" i="5"/>
  <c r="J78" i="5"/>
  <c r="Q77" i="5"/>
  <c r="O77" i="5"/>
  <c r="M77" i="5"/>
  <c r="L77" i="5"/>
  <c r="J77" i="5"/>
  <c r="O76" i="5"/>
  <c r="Q76" i="5" s="1"/>
  <c r="M76" i="5"/>
  <c r="L76" i="5"/>
  <c r="J76" i="5"/>
  <c r="O75" i="5"/>
  <c r="Q75" i="5" s="1"/>
  <c r="M75" i="5"/>
  <c r="L75" i="5"/>
  <c r="J75" i="5"/>
  <c r="O74" i="5"/>
  <c r="Q74" i="5" s="1"/>
  <c r="M74" i="5"/>
  <c r="L74" i="5"/>
  <c r="J74" i="5"/>
  <c r="O73" i="5"/>
  <c r="Q73" i="5" s="1"/>
  <c r="M73" i="5"/>
  <c r="L73" i="5"/>
  <c r="J73" i="5"/>
  <c r="O72" i="5"/>
  <c r="Q72" i="5" s="1"/>
  <c r="M72" i="5"/>
  <c r="L72" i="5"/>
  <c r="J72" i="5"/>
  <c r="O71" i="5"/>
  <c r="Q71" i="5" s="1"/>
  <c r="M71" i="5"/>
  <c r="L71" i="5"/>
  <c r="J71" i="5"/>
  <c r="O70" i="5"/>
  <c r="Q70" i="5" s="1"/>
  <c r="M70" i="5"/>
  <c r="L70" i="5"/>
  <c r="J70" i="5"/>
  <c r="O69" i="5"/>
  <c r="Q69" i="5" s="1"/>
  <c r="M69" i="5"/>
  <c r="L69" i="5"/>
  <c r="J69" i="5"/>
  <c r="O68" i="5"/>
  <c r="Q68" i="5" s="1"/>
  <c r="M68" i="5"/>
  <c r="L68" i="5"/>
  <c r="J68" i="5"/>
  <c r="O67" i="5"/>
  <c r="Q67" i="5" s="1"/>
  <c r="M67" i="5"/>
  <c r="L67" i="5"/>
  <c r="J67" i="5"/>
  <c r="O66" i="5"/>
  <c r="Q66" i="5" s="1"/>
  <c r="M66" i="5"/>
  <c r="L66" i="5"/>
  <c r="J66" i="5"/>
  <c r="O65" i="5"/>
  <c r="Q65" i="5" s="1"/>
  <c r="M65" i="5"/>
  <c r="L65" i="5"/>
  <c r="J65" i="5"/>
  <c r="O64" i="5"/>
  <c r="Q64" i="5" s="1"/>
  <c r="M64" i="5"/>
  <c r="L64" i="5"/>
  <c r="J64" i="5"/>
  <c r="O63" i="5"/>
  <c r="Q63" i="5" s="1"/>
  <c r="M63" i="5"/>
  <c r="L63" i="5"/>
  <c r="J63" i="5"/>
  <c r="Q62" i="5"/>
  <c r="O62" i="5"/>
  <c r="M62" i="5"/>
  <c r="L62" i="5"/>
  <c r="J62" i="5"/>
  <c r="O61" i="5"/>
  <c r="Q61" i="5" s="1"/>
  <c r="M61" i="5"/>
  <c r="L61" i="5"/>
  <c r="J61" i="5"/>
  <c r="O60" i="5"/>
  <c r="Q60" i="5" s="1"/>
  <c r="M60" i="5"/>
  <c r="L60" i="5"/>
  <c r="J60" i="5"/>
  <c r="O59" i="5"/>
  <c r="Q59" i="5" s="1"/>
  <c r="M59" i="5"/>
  <c r="L59" i="5"/>
  <c r="J59" i="5"/>
  <c r="O58" i="5"/>
  <c r="Q58" i="5" s="1"/>
  <c r="M58" i="5"/>
  <c r="L58" i="5"/>
  <c r="J58" i="5"/>
  <c r="O57" i="5"/>
  <c r="Q57" i="5" s="1"/>
  <c r="M57" i="5"/>
  <c r="L57" i="5"/>
  <c r="J57" i="5"/>
  <c r="O56" i="5"/>
  <c r="Q56" i="5" s="1"/>
  <c r="M56" i="5"/>
  <c r="L56" i="5"/>
  <c r="J56" i="5"/>
  <c r="O55" i="5"/>
  <c r="Q55" i="5" s="1"/>
  <c r="M55" i="5"/>
  <c r="L55" i="5"/>
  <c r="J55" i="5"/>
  <c r="O54" i="5"/>
  <c r="Q54" i="5" s="1"/>
  <c r="M54" i="5"/>
  <c r="L54" i="5"/>
  <c r="J54" i="5"/>
  <c r="O53" i="5"/>
  <c r="Q53" i="5" s="1"/>
  <c r="M53" i="5"/>
  <c r="L53" i="5"/>
  <c r="J53" i="5"/>
  <c r="O52" i="5"/>
  <c r="Q52" i="5" s="1"/>
  <c r="M52" i="5"/>
  <c r="L52" i="5"/>
  <c r="J52" i="5"/>
  <c r="O51" i="5"/>
  <c r="Q51" i="5" s="1"/>
  <c r="M51" i="5"/>
  <c r="L51" i="5"/>
  <c r="J51" i="5"/>
  <c r="O50" i="5"/>
  <c r="Q50" i="5" s="1"/>
  <c r="M50" i="5"/>
  <c r="L50" i="5"/>
  <c r="J50" i="5"/>
  <c r="O49" i="5"/>
  <c r="Q49" i="5" s="1"/>
  <c r="M49" i="5"/>
  <c r="L49" i="5"/>
  <c r="J49" i="5"/>
  <c r="O48" i="5"/>
  <c r="Q48" i="5" s="1"/>
  <c r="M48" i="5"/>
  <c r="L48" i="5"/>
  <c r="J48" i="5"/>
  <c r="O47" i="5"/>
  <c r="Q47" i="5" s="1"/>
  <c r="M47" i="5"/>
  <c r="L47" i="5"/>
  <c r="J47" i="5"/>
  <c r="O46" i="5"/>
  <c r="Q46" i="5" s="1"/>
  <c r="M46" i="5"/>
  <c r="L46" i="5"/>
  <c r="J46" i="5"/>
  <c r="O45" i="5"/>
  <c r="Q45" i="5" s="1"/>
  <c r="M45" i="5"/>
  <c r="L45" i="5"/>
  <c r="J45" i="5"/>
  <c r="O44" i="5"/>
  <c r="Q44" i="5" s="1"/>
  <c r="M44" i="5"/>
  <c r="L44" i="5"/>
  <c r="J44" i="5"/>
  <c r="O43" i="5"/>
  <c r="Q43" i="5" s="1"/>
  <c r="M43" i="5"/>
  <c r="L43" i="5"/>
  <c r="J43" i="5"/>
  <c r="O42" i="5"/>
  <c r="Q42" i="5" s="1"/>
  <c r="M42" i="5"/>
  <c r="L42" i="5"/>
  <c r="J42" i="5"/>
  <c r="O41" i="5"/>
  <c r="Q41" i="5" s="1"/>
  <c r="M41" i="5"/>
  <c r="L41" i="5"/>
  <c r="J41" i="5"/>
  <c r="O40" i="5"/>
  <c r="Q40" i="5" s="1"/>
  <c r="M40" i="5"/>
  <c r="L40" i="5"/>
  <c r="J40" i="5"/>
  <c r="O39" i="5"/>
  <c r="Q39" i="5" s="1"/>
  <c r="M39" i="5"/>
  <c r="L39" i="5"/>
  <c r="J39" i="5"/>
  <c r="O38" i="5"/>
  <c r="Q38" i="5" s="1"/>
  <c r="M38" i="5"/>
  <c r="L38" i="5"/>
  <c r="J38" i="5"/>
  <c r="O37" i="5"/>
  <c r="Q37" i="5" s="1"/>
  <c r="M37" i="5"/>
  <c r="L37" i="5"/>
  <c r="J37" i="5"/>
  <c r="O36" i="5"/>
  <c r="Q36" i="5" s="1"/>
  <c r="M36" i="5"/>
  <c r="L36" i="5"/>
  <c r="J36" i="5"/>
  <c r="O35" i="5"/>
  <c r="Q35" i="5" s="1"/>
  <c r="M35" i="5"/>
  <c r="L35" i="5"/>
  <c r="J35" i="5"/>
  <c r="Q34" i="5"/>
  <c r="O34" i="5"/>
  <c r="M34" i="5"/>
  <c r="L34" i="5"/>
  <c r="J34" i="5"/>
  <c r="O33" i="5"/>
  <c r="Q33" i="5" s="1"/>
  <c r="M33" i="5"/>
  <c r="L33" i="5"/>
  <c r="J33" i="5"/>
  <c r="O32" i="5"/>
  <c r="Q32" i="5" s="1"/>
  <c r="M32" i="5"/>
  <c r="L32" i="5"/>
  <c r="J32" i="5"/>
  <c r="O31" i="5"/>
  <c r="Q31" i="5" s="1"/>
  <c r="M31" i="5"/>
  <c r="L31" i="5"/>
  <c r="J31" i="5"/>
  <c r="O30" i="5"/>
  <c r="Q30" i="5" s="1"/>
  <c r="M30" i="5"/>
  <c r="L30" i="5"/>
  <c r="J30" i="5"/>
  <c r="O29" i="5"/>
  <c r="Q29" i="5" s="1"/>
  <c r="M29" i="5"/>
  <c r="L29" i="5"/>
  <c r="J29" i="5"/>
  <c r="O28" i="5"/>
  <c r="Q28" i="5" s="1"/>
  <c r="M28" i="5"/>
  <c r="L28" i="5"/>
  <c r="J28" i="5"/>
  <c r="O27" i="5"/>
  <c r="Q27" i="5" s="1"/>
  <c r="M27" i="5"/>
  <c r="L27" i="5"/>
  <c r="J27" i="5"/>
  <c r="O26" i="5"/>
  <c r="Q26" i="5" s="1"/>
  <c r="M26" i="5"/>
  <c r="L26" i="5"/>
  <c r="J26" i="5"/>
  <c r="O25" i="5"/>
  <c r="Q25" i="5" s="1"/>
  <c r="M25" i="5"/>
  <c r="L25" i="5"/>
  <c r="J25" i="5"/>
  <c r="O24" i="5"/>
  <c r="Q24" i="5" s="1"/>
  <c r="M24" i="5"/>
  <c r="L24" i="5"/>
  <c r="J24" i="5"/>
  <c r="O23" i="5"/>
  <c r="Q23" i="5" s="1"/>
  <c r="M23" i="5"/>
  <c r="L23" i="5"/>
  <c r="J23" i="5"/>
  <c r="O22" i="5"/>
  <c r="Q22" i="5" s="1"/>
  <c r="M22" i="5"/>
  <c r="L22" i="5"/>
  <c r="J22" i="5"/>
  <c r="O21" i="5"/>
  <c r="Q21" i="5" s="1"/>
  <c r="M21" i="5"/>
  <c r="L21" i="5"/>
  <c r="J21" i="5"/>
  <c r="O20" i="5"/>
  <c r="Q20" i="5" s="1"/>
  <c r="M20" i="5"/>
  <c r="L20" i="5"/>
  <c r="J20" i="5"/>
  <c r="O19" i="5"/>
  <c r="Q19" i="5" s="1"/>
  <c r="M19" i="5"/>
  <c r="L19" i="5"/>
  <c r="J19" i="5"/>
  <c r="O18" i="5"/>
  <c r="Q18" i="5" s="1"/>
  <c r="M18" i="5"/>
  <c r="L18" i="5"/>
  <c r="J18" i="5"/>
  <c r="O17" i="5"/>
  <c r="Q17" i="5" s="1"/>
  <c r="M17" i="5"/>
  <c r="L17" i="5"/>
  <c r="J17" i="5"/>
  <c r="O16" i="5"/>
  <c r="Q16" i="5" s="1"/>
  <c r="M16" i="5"/>
  <c r="L16" i="5"/>
  <c r="J16" i="5"/>
  <c r="O15" i="5"/>
  <c r="Q15" i="5" s="1"/>
  <c r="M15" i="5"/>
  <c r="L15" i="5"/>
  <c r="J15" i="5"/>
  <c r="O14" i="5"/>
  <c r="Q14" i="5" s="1"/>
  <c r="M14" i="5"/>
  <c r="L14" i="5"/>
  <c r="J14" i="5"/>
  <c r="O13" i="5"/>
  <c r="Q13" i="5" s="1"/>
  <c r="M13" i="5"/>
  <c r="L13" i="5"/>
  <c r="J13" i="5"/>
  <c r="O12" i="5"/>
  <c r="Q12" i="5" s="1"/>
  <c r="M12" i="5"/>
  <c r="L12" i="5"/>
  <c r="J12" i="5"/>
  <c r="O11" i="5"/>
  <c r="Q11" i="5" s="1"/>
  <c r="M11" i="5"/>
  <c r="L11" i="5"/>
  <c r="J11" i="5"/>
  <c r="O10" i="5"/>
  <c r="Q10" i="5" s="1"/>
  <c r="M10" i="5"/>
  <c r="L10" i="5"/>
  <c r="J10" i="5"/>
  <c r="O9" i="5"/>
  <c r="Q9" i="5" s="1"/>
  <c r="M9" i="5"/>
  <c r="L9" i="5"/>
  <c r="J9" i="5"/>
  <c r="O8" i="5"/>
  <c r="Q8" i="5" s="1"/>
  <c r="M8" i="5"/>
  <c r="L8" i="5"/>
  <c r="J8" i="5"/>
  <c r="O7" i="5"/>
  <c r="Q7" i="5" s="1"/>
  <c r="M7" i="5"/>
  <c r="L7" i="5"/>
  <c r="J7" i="5"/>
  <c r="O6" i="5"/>
  <c r="Q6" i="5" s="1"/>
  <c r="M6" i="5"/>
  <c r="L6" i="5"/>
  <c r="J6" i="5"/>
  <c r="O5" i="5"/>
  <c r="Q5" i="5" s="1"/>
  <c r="M5" i="5"/>
  <c r="L5" i="5"/>
  <c r="J5" i="5"/>
  <c r="M4" i="5"/>
  <c r="O4" i="5" s="1"/>
  <c r="J4" i="5"/>
  <c r="N2" i="5"/>
  <c r="M2" i="5"/>
  <c r="J2" i="5"/>
  <c r="I2" i="5"/>
  <c r="H2" i="5"/>
  <c r="G2" i="5"/>
  <c r="F22" i="2"/>
  <c r="F21" i="2"/>
  <c r="E22" i="2"/>
  <c r="C22" i="2"/>
  <c r="B22" i="2"/>
  <c r="K22" i="1"/>
  <c r="O39" i="2"/>
  <c r="F5" i="8" s="1"/>
  <c r="F20" i="2"/>
  <c r="E20" i="2"/>
  <c r="E21" i="2"/>
  <c r="B20" i="2"/>
  <c r="B21" i="2"/>
  <c r="C20" i="2"/>
  <c r="C21" i="2"/>
  <c r="J21" i="1"/>
  <c r="S21" i="1" s="1"/>
  <c r="J22" i="1"/>
  <c r="K21" i="1"/>
  <c r="G21" i="2" s="1"/>
  <c r="K20" i="1"/>
  <c r="O38" i="4"/>
  <c r="I7" i="4"/>
  <c r="I4" i="4"/>
  <c r="O105" i="3"/>
  <c r="Q105" i="3" s="1"/>
  <c r="M105" i="3"/>
  <c r="L105" i="3"/>
  <c r="J105" i="3"/>
  <c r="O104" i="3"/>
  <c r="Q104" i="3" s="1"/>
  <c r="M104" i="3"/>
  <c r="L104" i="3"/>
  <c r="J104" i="3"/>
  <c r="O103" i="3"/>
  <c r="Q103" i="3" s="1"/>
  <c r="M103" i="3"/>
  <c r="L103" i="3"/>
  <c r="J103" i="3"/>
  <c r="O102" i="3"/>
  <c r="Q102" i="3" s="1"/>
  <c r="M102" i="3"/>
  <c r="L102" i="3"/>
  <c r="J102" i="3"/>
  <c r="O101" i="3"/>
  <c r="Q101" i="3" s="1"/>
  <c r="M101" i="3"/>
  <c r="L101" i="3"/>
  <c r="J101" i="3"/>
  <c r="O100" i="3"/>
  <c r="Q100" i="3" s="1"/>
  <c r="M100" i="3"/>
  <c r="L100" i="3"/>
  <c r="J100" i="3"/>
  <c r="O99" i="3"/>
  <c r="Q99" i="3" s="1"/>
  <c r="M99" i="3"/>
  <c r="L99" i="3"/>
  <c r="J99" i="3"/>
  <c r="O98" i="3"/>
  <c r="Q98" i="3" s="1"/>
  <c r="M98" i="3"/>
  <c r="L98" i="3"/>
  <c r="J98" i="3"/>
  <c r="O97" i="3"/>
  <c r="Q97" i="3" s="1"/>
  <c r="M97" i="3"/>
  <c r="L97" i="3"/>
  <c r="J97" i="3"/>
  <c r="O96" i="3"/>
  <c r="Q96" i="3" s="1"/>
  <c r="M96" i="3"/>
  <c r="L96" i="3"/>
  <c r="J96" i="3"/>
  <c r="O95" i="3"/>
  <c r="Q95" i="3" s="1"/>
  <c r="M95" i="3"/>
  <c r="L95" i="3"/>
  <c r="J95" i="3"/>
  <c r="O94" i="3"/>
  <c r="Q94" i="3" s="1"/>
  <c r="M94" i="3"/>
  <c r="L94" i="3"/>
  <c r="J94" i="3"/>
  <c r="O93" i="3"/>
  <c r="Q93" i="3" s="1"/>
  <c r="M93" i="3"/>
  <c r="L93" i="3"/>
  <c r="J93" i="3"/>
  <c r="O92" i="3"/>
  <c r="Q92" i="3" s="1"/>
  <c r="M92" i="3"/>
  <c r="L92" i="3"/>
  <c r="J92" i="3"/>
  <c r="O91" i="3"/>
  <c r="Q91" i="3" s="1"/>
  <c r="M91" i="3"/>
  <c r="L91" i="3"/>
  <c r="J91" i="3"/>
  <c r="O90" i="3"/>
  <c r="Q90" i="3" s="1"/>
  <c r="M90" i="3"/>
  <c r="L90" i="3"/>
  <c r="J90" i="3"/>
  <c r="O89" i="3"/>
  <c r="Q89" i="3" s="1"/>
  <c r="M89" i="3"/>
  <c r="L89" i="3"/>
  <c r="J89" i="3"/>
  <c r="O88" i="3"/>
  <c r="Q88" i="3" s="1"/>
  <c r="M88" i="3"/>
  <c r="L88" i="3"/>
  <c r="J88" i="3"/>
  <c r="O87" i="3"/>
  <c r="Q87" i="3" s="1"/>
  <c r="M87" i="3"/>
  <c r="L87" i="3"/>
  <c r="J87" i="3"/>
  <c r="O86" i="3"/>
  <c r="Q86" i="3" s="1"/>
  <c r="M86" i="3"/>
  <c r="L86" i="3"/>
  <c r="J86" i="3"/>
  <c r="O85" i="3"/>
  <c r="Q85" i="3" s="1"/>
  <c r="M85" i="3"/>
  <c r="L85" i="3"/>
  <c r="J85" i="3"/>
  <c r="O84" i="3"/>
  <c r="Q84" i="3" s="1"/>
  <c r="M84" i="3"/>
  <c r="L84" i="3"/>
  <c r="J84" i="3"/>
  <c r="O83" i="3"/>
  <c r="Q83" i="3" s="1"/>
  <c r="M83" i="3"/>
  <c r="L83" i="3"/>
  <c r="J83" i="3"/>
  <c r="O82" i="3"/>
  <c r="Q82" i="3" s="1"/>
  <c r="M82" i="3"/>
  <c r="L82" i="3"/>
  <c r="J82" i="3"/>
  <c r="O81" i="3"/>
  <c r="Q81" i="3" s="1"/>
  <c r="M81" i="3"/>
  <c r="L81" i="3"/>
  <c r="J81" i="3"/>
  <c r="O80" i="3"/>
  <c r="Q80" i="3" s="1"/>
  <c r="M80" i="3"/>
  <c r="L80" i="3"/>
  <c r="J80" i="3"/>
  <c r="O79" i="3"/>
  <c r="Q79" i="3" s="1"/>
  <c r="M79" i="3"/>
  <c r="L79" i="3"/>
  <c r="J79" i="3"/>
  <c r="O78" i="3"/>
  <c r="Q78" i="3" s="1"/>
  <c r="M78" i="3"/>
  <c r="L78" i="3"/>
  <c r="J78" i="3"/>
  <c r="O77" i="3"/>
  <c r="Q77" i="3" s="1"/>
  <c r="M77" i="3"/>
  <c r="L77" i="3"/>
  <c r="J77" i="3"/>
  <c r="O76" i="3"/>
  <c r="Q76" i="3" s="1"/>
  <c r="M76" i="3"/>
  <c r="L76" i="3"/>
  <c r="J76" i="3"/>
  <c r="O75" i="3"/>
  <c r="Q75" i="3" s="1"/>
  <c r="M75" i="3"/>
  <c r="L75" i="3"/>
  <c r="J75" i="3"/>
  <c r="O74" i="3"/>
  <c r="Q74" i="3" s="1"/>
  <c r="M74" i="3"/>
  <c r="L74" i="3"/>
  <c r="J74" i="3"/>
  <c r="O73" i="3"/>
  <c r="Q73" i="3" s="1"/>
  <c r="M73" i="3"/>
  <c r="L73" i="3"/>
  <c r="J73" i="3"/>
  <c r="O72" i="3"/>
  <c r="Q72" i="3" s="1"/>
  <c r="M72" i="3"/>
  <c r="L72" i="3"/>
  <c r="J72" i="3"/>
  <c r="O71" i="3"/>
  <c r="Q71" i="3" s="1"/>
  <c r="M71" i="3"/>
  <c r="L71" i="3"/>
  <c r="J71" i="3"/>
  <c r="O70" i="3"/>
  <c r="Q70" i="3" s="1"/>
  <c r="M70" i="3"/>
  <c r="L70" i="3"/>
  <c r="J70" i="3"/>
  <c r="S70" i="3" s="1"/>
  <c r="O69" i="3"/>
  <c r="Q69" i="3" s="1"/>
  <c r="M69" i="3"/>
  <c r="L69" i="3"/>
  <c r="J69" i="3"/>
  <c r="O68" i="3"/>
  <c r="Q68" i="3" s="1"/>
  <c r="M68" i="3"/>
  <c r="L68" i="3"/>
  <c r="J68" i="3"/>
  <c r="O67" i="3"/>
  <c r="Q67" i="3" s="1"/>
  <c r="M67" i="3"/>
  <c r="L67" i="3"/>
  <c r="J67" i="3"/>
  <c r="O66" i="3"/>
  <c r="Q66" i="3" s="1"/>
  <c r="M66" i="3"/>
  <c r="L66" i="3"/>
  <c r="J66" i="3"/>
  <c r="O65" i="3"/>
  <c r="Q65" i="3" s="1"/>
  <c r="M65" i="3"/>
  <c r="L65" i="3"/>
  <c r="J65" i="3"/>
  <c r="O64" i="3"/>
  <c r="Q64" i="3" s="1"/>
  <c r="M64" i="3"/>
  <c r="L64" i="3"/>
  <c r="J64" i="3"/>
  <c r="O63" i="3"/>
  <c r="Q63" i="3" s="1"/>
  <c r="M63" i="3"/>
  <c r="L63" i="3"/>
  <c r="J63" i="3"/>
  <c r="O62" i="3"/>
  <c r="Q62" i="3" s="1"/>
  <c r="M62" i="3"/>
  <c r="L62" i="3"/>
  <c r="J62" i="3"/>
  <c r="O61" i="3"/>
  <c r="Q61" i="3" s="1"/>
  <c r="M61" i="3"/>
  <c r="L61" i="3"/>
  <c r="J61" i="3"/>
  <c r="O60" i="3"/>
  <c r="Q60" i="3" s="1"/>
  <c r="M60" i="3"/>
  <c r="L60" i="3"/>
  <c r="J60" i="3"/>
  <c r="O59" i="3"/>
  <c r="Q59" i="3" s="1"/>
  <c r="M59" i="3"/>
  <c r="L59" i="3"/>
  <c r="J59" i="3"/>
  <c r="O58" i="3"/>
  <c r="Q58" i="3" s="1"/>
  <c r="M58" i="3"/>
  <c r="L58" i="3"/>
  <c r="J58" i="3"/>
  <c r="O57" i="3"/>
  <c r="Q57" i="3" s="1"/>
  <c r="M57" i="3"/>
  <c r="L57" i="3"/>
  <c r="J57" i="3"/>
  <c r="O56" i="3"/>
  <c r="Q56" i="3" s="1"/>
  <c r="M56" i="3"/>
  <c r="L56" i="3"/>
  <c r="J56" i="3"/>
  <c r="O55" i="3"/>
  <c r="Q55" i="3" s="1"/>
  <c r="M55" i="3"/>
  <c r="L55" i="3"/>
  <c r="J55" i="3"/>
  <c r="O54" i="3"/>
  <c r="Q54" i="3" s="1"/>
  <c r="M54" i="3"/>
  <c r="L54" i="3"/>
  <c r="J54" i="3"/>
  <c r="O53" i="3"/>
  <c r="Q53" i="3" s="1"/>
  <c r="M53" i="3"/>
  <c r="L53" i="3"/>
  <c r="J53" i="3"/>
  <c r="O52" i="3"/>
  <c r="Q52" i="3" s="1"/>
  <c r="M52" i="3"/>
  <c r="L52" i="3"/>
  <c r="J52" i="3"/>
  <c r="O51" i="3"/>
  <c r="Q51" i="3" s="1"/>
  <c r="M51" i="3"/>
  <c r="L51" i="3"/>
  <c r="J51" i="3"/>
  <c r="O50" i="3"/>
  <c r="Q50" i="3" s="1"/>
  <c r="M50" i="3"/>
  <c r="L50" i="3"/>
  <c r="J50" i="3"/>
  <c r="O49" i="3"/>
  <c r="Q49" i="3" s="1"/>
  <c r="M49" i="3"/>
  <c r="L49" i="3"/>
  <c r="J49" i="3"/>
  <c r="O48" i="3"/>
  <c r="Q48" i="3" s="1"/>
  <c r="M48" i="3"/>
  <c r="L48" i="3"/>
  <c r="J48" i="3"/>
  <c r="O47" i="3"/>
  <c r="Q47" i="3" s="1"/>
  <c r="M47" i="3"/>
  <c r="L47" i="3"/>
  <c r="J47" i="3"/>
  <c r="O46" i="3"/>
  <c r="Q46" i="3" s="1"/>
  <c r="M46" i="3"/>
  <c r="L46" i="3"/>
  <c r="J46" i="3"/>
  <c r="O45" i="3"/>
  <c r="Q45" i="3" s="1"/>
  <c r="M45" i="3"/>
  <c r="L45" i="3"/>
  <c r="J45" i="3"/>
  <c r="O44" i="3"/>
  <c r="Q44" i="3" s="1"/>
  <c r="M44" i="3"/>
  <c r="L44" i="3"/>
  <c r="J44" i="3"/>
  <c r="O43" i="3"/>
  <c r="Q43" i="3" s="1"/>
  <c r="M43" i="3"/>
  <c r="L43" i="3"/>
  <c r="J43" i="3"/>
  <c r="O42" i="3"/>
  <c r="Q42" i="3" s="1"/>
  <c r="M42" i="3"/>
  <c r="L42" i="3"/>
  <c r="J42" i="3"/>
  <c r="O41" i="3"/>
  <c r="Q41" i="3" s="1"/>
  <c r="M41" i="3"/>
  <c r="L41" i="3"/>
  <c r="J41" i="3"/>
  <c r="O40" i="3"/>
  <c r="Q40" i="3" s="1"/>
  <c r="M40" i="3"/>
  <c r="L40" i="3"/>
  <c r="J40" i="3"/>
  <c r="O39" i="3"/>
  <c r="Q39" i="3" s="1"/>
  <c r="M39" i="3"/>
  <c r="L39" i="3"/>
  <c r="J39" i="3"/>
  <c r="O38" i="3"/>
  <c r="Q38" i="3" s="1"/>
  <c r="M38" i="3"/>
  <c r="L38" i="3"/>
  <c r="J38" i="3"/>
  <c r="O37" i="3"/>
  <c r="Q37" i="3" s="1"/>
  <c r="M37" i="3"/>
  <c r="L37" i="3"/>
  <c r="J37" i="3"/>
  <c r="O36" i="3"/>
  <c r="Q36" i="3" s="1"/>
  <c r="M36" i="3"/>
  <c r="L36" i="3"/>
  <c r="J36" i="3"/>
  <c r="O35" i="3"/>
  <c r="Q35" i="3" s="1"/>
  <c r="M35" i="3"/>
  <c r="L35" i="3"/>
  <c r="J35" i="3"/>
  <c r="O34" i="3"/>
  <c r="Q34" i="3" s="1"/>
  <c r="M34" i="3"/>
  <c r="L34" i="3"/>
  <c r="J34" i="3"/>
  <c r="O33" i="3"/>
  <c r="Q33" i="3" s="1"/>
  <c r="M33" i="3"/>
  <c r="L33" i="3"/>
  <c r="J33" i="3"/>
  <c r="O32" i="3"/>
  <c r="Q32" i="3" s="1"/>
  <c r="M32" i="3"/>
  <c r="L32" i="3"/>
  <c r="J32" i="3"/>
  <c r="O31" i="3"/>
  <c r="Q31" i="3" s="1"/>
  <c r="M31" i="3"/>
  <c r="L31" i="3"/>
  <c r="J31" i="3"/>
  <c r="O30" i="3"/>
  <c r="Q30" i="3" s="1"/>
  <c r="M30" i="3"/>
  <c r="L30" i="3"/>
  <c r="J30" i="3"/>
  <c r="O29" i="3"/>
  <c r="Q29" i="3" s="1"/>
  <c r="M29" i="3"/>
  <c r="L29" i="3"/>
  <c r="J29" i="3"/>
  <c r="O28" i="3"/>
  <c r="Q28" i="3" s="1"/>
  <c r="M28" i="3"/>
  <c r="L28" i="3"/>
  <c r="J28" i="3"/>
  <c r="O27" i="3"/>
  <c r="Q27" i="3" s="1"/>
  <c r="M27" i="3"/>
  <c r="L27" i="3"/>
  <c r="J27" i="3"/>
  <c r="O26" i="3"/>
  <c r="Q26" i="3" s="1"/>
  <c r="M26" i="3"/>
  <c r="L26" i="3"/>
  <c r="J26" i="3"/>
  <c r="O25" i="3"/>
  <c r="Q25" i="3" s="1"/>
  <c r="M25" i="3"/>
  <c r="L25" i="3"/>
  <c r="J25" i="3"/>
  <c r="O24" i="3"/>
  <c r="Q24" i="3" s="1"/>
  <c r="M24" i="3"/>
  <c r="L24" i="3"/>
  <c r="J24" i="3"/>
  <c r="O23" i="3"/>
  <c r="Q23" i="3" s="1"/>
  <c r="M23" i="3"/>
  <c r="L23" i="3"/>
  <c r="J23" i="3"/>
  <c r="O22" i="3"/>
  <c r="Q22" i="3" s="1"/>
  <c r="M22" i="3"/>
  <c r="L22" i="3"/>
  <c r="J22" i="3"/>
  <c r="O21" i="3"/>
  <c r="Q21" i="3" s="1"/>
  <c r="M21" i="3"/>
  <c r="L21" i="3"/>
  <c r="J21" i="3"/>
  <c r="O20" i="3"/>
  <c r="Q20" i="3" s="1"/>
  <c r="M20" i="3"/>
  <c r="L20" i="3"/>
  <c r="J20" i="3"/>
  <c r="M19" i="3"/>
  <c r="O19" i="3" s="1"/>
  <c r="Q19" i="3" s="1"/>
  <c r="L19" i="3"/>
  <c r="J19" i="3"/>
  <c r="M18" i="3"/>
  <c r="O18" i="3" s="1"/>
  <c r="Q18" i="3" s="1"/>
  <c r="L18" i="3"/>
  <c r="J18" i="3"/>
  <c r="J17" i="3"/>
  <c r="M16" i="3"/>
  <c r="O16" i="3" s="1"/>
  <c r="Q16" i="3" s="1"/>
  <c r="L16" i="3"/>
  <c r="J16" i="3"/>
  <c r="J15" i="3"/>
  <c r="J14" i="3"/>
  <c r="J13" i="3"/>
  <c r="J11" i="3"/>
  <c r="J10" i="3"/>
  <c r="J9" i="3"/>
  <c r="O6" i="3"/>
  <c r="M4" i="3"/>
  <c r="O4" i="3" s="1"/>
  <c r="L4" i="3" s="1"/>
  <c r="J4" i="3"/>
  <c r="N2" i="3"/>
  <c r="I2" i="3"/>
  <c r="H2" i="3"/>
  <c r="G2" i="3"/>
  <c r="H18" i="2"/>
  <c r="H19" i="2"/>
  <c r="G18" i="2"/>
  <c r="G19" i="2"/>
  <c r="F18" i="2"/>
  <c r="F19" i="2"/>
  <c r="E18" i="2"/>
  <c r="E19" i="2"/>
  <c r="C18" i="2"/>
  <c r="C19" i="2"/>
  <c r="B18" i="2"/>
  <c r="B19" i="2"/>
  <c r="L19" i="1"/>
  <c r="L18" i="1"/>
  <c r="H16" i="2"/>
  <c r="H17" i="2"/>
  <c r="G17" i="2"/>
  <c r="F16" i="2"/>
  <c r="F17" i="2"/>
  <c r="E16" i="2"/>
  <c r="E17" i="2"/>
  <c r="C16" i="2"/>
  <c r="C17" i="2"/>
  <c r="B16" i="2"/>
  <c r="B17" i="2"/>
  <c r="K16" i="1"/>
  <c r="B5" i="2"/>
  <c r="B6" i="2"/>
  <c r="B7" i="2"/>
  <c r="B8" i="2"/>
  <c r="B9" i="2"/>
  <c r="B10" i="2"/>
  <c r="B11" i="2"/>
  <c r="B12" i="2"/>
  <c r="B13" i="2"/>
  <c r="B14" i="2"/>
  <c r="B15" i="2"/>
  <c r="K11" i="1"/>
  <c r="H14" i="2"/>
  <c r="H15" i="2"/>
  <c r="G15" i="2"/>
  <c r="K15" i="2" s="1"/>
  <c r="F14" i="2"/>
  <c r="F15" i="2"/>
  <c r="E14" i="2"/>
  <c r="E15" i="2"/>
  <c r="C14" i="2"/>
  <c r="C15" i="2"/>
  <c r="H12" i="2"/>
  <c r="H13" i="2"/>
  <c r="H11" i="2"/>
  <c r="F13" i="2"/>
  <c r="E12" i="2"/>
  <c r="C12" i="2"/>
  <c r="C13" i="2"/>
  <c r="K14" i="1"/>
  <c r="K13" i="1"/>
  <c r="L13" i="1" s="1"/>
  <c r="L15" i="1"/>
  <c r="L17" i="1"/>
  <c r="L24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G12" i="1"/>
  <c r="F12" i="2" s="1"/>
  <c r="K12" i="1"/>
  <c r="L12" i="1" s="1"/>
  <c r="K7" i="2"/>
  <c r="L5" i="1"/>
  <c r="L6" i="1"/>
  <c r="C11" i="2"/>
  <c r="E11" i="2"/>
  <c r="F11" i="2"/>
  <c r="E10" i="2"/>
  <c r="C10" i="2"/>
  <c r="K10" i="1"/>
  <c r="L10" i="1" s="1"/>
  <c r="G10" i="1"/>
  <c r="F10" i="2" s="1"/>
  <c r="F2" i="4" l="1"/>
  <c r="F7" i="8"/>
  <c r="J2" i="6"/>
  <c r="I13" i="4"/>
  <c r="G26" i="2"/>
  <c r="I26" i="2" s="1"/>
  <c r="R12" i="3"/>
  <c r="T12" i="3" s="1"/>
  <c r="Q12" i="3"/>
  <c r="L5" i="3"/>
  <c r="I5" i="4"/>
  <c r="Q6" i="3"/>
  <c r="I6" i="4"/>
  <c r="L25" i="1"/>
  <c r="G25" i="2"/>
  <c r="I25" i="2" s="1"/>
  <c r="L23" i="1"/>
  <c r="G23" i="2"/>
  <c r="I23" i="2" s="1"/>
  <c r="L22" i="1"/>
  <c r="G22" i="2"/>
  <c r="I22" i="2" s="1"/>
  <c r="L20" i="1"/>
  <c r="G20" i="2"/>
  <c r="I20" i="2" s="1"/>
  <c r="I21" i="2"/>
  <c r="J2" i="4"/>
  <c r="F6" i="8"/>
  <c r="F9" i="8" s="1"/>
  <c r="Q5" i="3"/>
  <c r="R5" i="3" s="1"/>
  <c r="I4" i="6"/>
  <c r="I2" i="6" s="1"/>
  <c r="R104" i="5"/>
  <c r="S104" i="5"/>
  <c r="S103" i="5"/>
  <c r="R103" i="5"/>
  <c r="T103" i="5" s="1"/>
  <c r="S102" i="5"/>
  <c r="R102" i="5"/>
  <c r="T102" i="5" s="1"/>
  <c r="S101" i="5"/>
  <c r="R101" i="5"/>
  <c r="T101" i="5" s="1"/>
  <c r="R100" i="5"/>
  <c r="S100" i="5"/>
  <c r="S99" i="5"/>
  <c r="R99" i="5"/>
  <c r="T99" i="5" s="1"/>
  <c r="S98" i="5"/>
  <c r="R98" i="5"/>
  <c r="T98" i="5" s="1"/>
  <c r="S97" i="5"/>
  <c r="R97" i="5"/>
  <c r="T97" i="5" s="1"/>
  <c r="R96" i="5"/>
  <c r="T96" i="5" s="1"/>
  <c r="S96" i="5"/>
  <c r="R95" i="5"/>
  <c r="S95" i="5"/>
  <c r="R94" i="5"/>
  <c r="T94" i="5" s="1"/>
  <c r="S94" i="5"/>
  <c r="S93" i="5"/>
  <c r="R93" i="5"/>
  <c r="T93" i="5" s="1"/>
  <c r="S92" i="5"/>
  <c r="R92" i="5"/>
  <c r="T92" i="5" s="1"/>
  <c r="S91" i="5"/>
  <c r="R91" i="5"/>
  <c r="T91" i="5" s="1"/>
  <c r="R90" i="5"/>
  <c r="S90" i="5"/>
  <c r="R89" i="5"/>
  <c r="S89" i="5"/>
  <c r="R88" i="5"/>
  <c r="T88" i="5" s="1"/>
  <c r="S88" i="5"/>
  <c r="S87" i="5"/>
  <c r="R87" i="5"/>
  <c r="T87" i="5" s="1"/>
  <c r="R86" i="5"/>
  <c r="S86" i="5"/>
  <c r="R85" i="5"/>
  <c r="T85" i="5" s="1"/>
  <c r="S85" i="5"/>
  <c r="S84" i="5"/>
  <c r="R84" i="5"/>
  <c r="T84" i="5" s="1"/>
  <c r="S83" i="5"/>
  <c r="R83" i="5"/>
  <c r="T83" i="5" s="1"/>
  <c r="S82" i="5"/>
  <c r="R82" i="5"/>
  <c r="T82" i="5" s="1"/>
  <c r="R81" i="5"/>
  <c r="S81" i="5"/>
  <c r="R80" i="5"/>
  <c r="T80" i="5" s="1"/>
  <c r="S80" i="5"/>
  <c r="R79" i="5"/>
  <c r="S79" i="5"/>
  <c r="R78" i="5"/>
  <c r="T78" i="5" s="1"/>
  <c r="S78" i="5"/>
  <c r="R77" i="5"/>
  <c r="T77" i="5" s="1"/>
  <c r="S77" i="5"/>
  <c r="R76" i="5"/>
  <c r="T76" i="5" s="1"/>
  <c r="S76" i="5"/>
  <c r="S75" i="5"/>
  <c r="R75" i="5"/>
  <c r="T75" i="5" s="1"/>
  <c r="S74" i="5"/>
  <c r="R74" i="5"/>
  <c r="T74" i="5" s="1"/>
  <c r="R73" i="5"/>
  <c r="S73" i="5"/>
  <c r="S72" i="5"/>
  <c r="R72" i="5"/>
  <c r="T72" i="5" s="1"/>
  <c r="S71" i="5"/>
  <c r="R71" i="5"/>
  <c r="T71" i="5" s="1"/>
  <c r="R70" i="5"/>
  <c r="S70" i="5"/>
  <c r="R69" i="5"/>
  <c r="T69" i="5" s="1"/>
  <c r="S69" i="5"/>
  <c r="R68" i="5"/>
  <c r="T68" i="5" s="1"/>
  <c r="S68" i="5"/>
  <c r="S67" i="5"/>
  <c r="R67" i="5"/>
  <c r="T67" i="5" s="1"/>
  <c r="S66" i="5"/>
  <c r="R66" i="5"/>
  <c r="T66" i="5" s="1"/>
  <c r="S65" i="5"/>
  <c r="R65" i="5"/>
  <c r="T65" i="5" s="1"/>
  <c r="R64" i="5"/>
  <c r="T64" i="5" s="1"/>
  <c r="S64" i="5"/>
  <c r="R63" i="5"/>
  <c r="T63" i="5" s="1"/>
  <c r="S63" i="5"/>
  <c r="S62" i="5"/>
  <c r="R62" i="5"/>
  <c r="T62" i="5" s="1"/>
  <c r="S61" i="5"/>
  <c r="R61" i="5"/>
  <c r="T61" i="5" s="1"/>
  <c r="R60" i="5"/>
  <c r="S60" i="5"/>
  <c r="R59" i="5"/>
  <c r="T59" i="5" s="1"/>
  <c r="S59" i="5"/>
  <c r="R58" i="5"/>
  <c r="S58" i="5"/>
  <c r="R57" i="5"/>
  <c r="T57" i="5" s="1"/>
  <c r="S57" i="5"/>
  <c r="R56" i="5"/>
  <c r="T56" i="5" s="1"/>
  <c r="S56" i="5"/>
  <c r="S55" i="5"/>
  <c r="R55" i="5"/>
  <c r="T55" i="5" s="1"/>
  <c r="S54" i="5"/>
  <c r="R54" i="5"/>
  <c r="T54" i="5" s="1"/>
  <c r="R53" i="5"/>
  <c r="S53" i="5"/>
  <c r="S52" i="5"/>
  <c r="R52" i="5"/>
  <c r="T52" i="5" s="1"/>
  <c r="S51" i="5"/>
  <c r="R51" i="5"/>
  <c r="T51" i="5" s="1"/>
  <c r="R50" i="5"/>
  <c r="T50" i="5" s="1"/>
  <c r="S50" i="5"/>
  <c r="R49" i="5"/>
  <c r="T49" i="5" s="1"/>
  <c r="S49" i="5"/>
  <c r="R48" i="5"/>
  <c r="T48" i="5" s="1"/>
  <c r="S48" i="5"/>
  <c r="R47" i="5"/>
  <c r="S47" i="5"/>
  <c r="S46" i="5"/>
  <c r="R46" i="5"/>
  <c r="T46" i="5" s="1"/>
  <c r="R45" i="5"/>
  <c r="T45" i="5" s="1"/>
  <c r="S45" i="5"/>
  <c r="S44" i="5"/>
  <c r="R44" i="5"/>
  <c r="T44" i="5" s="1"/>
  <c r="R43" i="5"/>
  <c r="T43" i="5" s="1"/>
  <c r="S43" i="5"/>
  <c r="S42" i="5"/>
  <c r="R42" i="5"/>
  <c r="T42" i="5" s="1"/>
  <c r="S41" i="5"/>
  <c r="R41" i="5"/>
  <c r="T41" i="5" s="1"/>
  <c r="S40" i="5"/>
  <c r="R40" i="5"/>
  <c r="T40" i="5" s="1"/>
  <c r="S39" i="5"/>
  <c r="R39" i="5"/>
  <c r="T39" i="5" s="1"/>
  <c r="R38" i="5"/>
  <c r="S38" i="5"/>
  <c r="R37" i="5"/>
  <c r="T37" i="5" s="1"/>
  <c r="S37" i="5"/>
  <c r="S36" i="5"/>
  <c r="R36" i="5"/>
  <c r="T36" i="5" s="1"/>
  <c r="R35" i="5"/>
  <c r="T35" i="5" s="1"/>
  <c r="S35" i="5"/>
  <c r="S34" i="5"/>
  <c r="R34" i="5"/>
  <c r="T34" i="5" s="1"/>
  <c r="R33" i="5"/>
  <c r="T33" i="5" s="1"/>
  <c r="S33" i="5"/>
  <c r="S32" i="5"/>
  <c r="R32" i="5"/>
  <c r="T32" i="5" s="1"/>
  <c r="R31" i="5"/>
  <c r="T31" i="5" s="1"/>
  <c r="S31" i="5"/>
  <c r="R30" i="5"/>
  <c r="S30" i="5"/>
  <c r="S29" i="5"/>
  <c r="R29" i="5"/>
  <c r="T29" i="5" s="1"/>
  <c r="S28" i="5"/>
  <c r="R28" i="5"/>
  <c r="T28" i="5" s="1"/>
  <c r="R27" i="5"/>
  <c r="T27" i="5" s="1"/>
  <c r="S27" i="5"/>
  <c r="R26" i="5"/>
  <c r="T26" i="5" s="1"/>
  <c r="S26" i="5"/>
  <c r="S25" i="5"/>
  <c r="R25" i="5"/>
  <c r="T25" i="5" s="1"/>
  <c r="R24" i="5"/>
  <c r="T24" i="5" s="1"/>
  <c r="S24" i="5"/>
  <c r="S23" i="5"/>
  <c r="R23" i="5"/>
  <c r="T23" i="5" s="1"/>
  <c r="S22" i="5"/>
  <c r="R22" i="5"/>
  <c r="T22" i="5" s="1"/>
  <c r="R21" i="5"/>
  <c r="T21" i="5" s="1"/>
  <c r="S21" i="5"/>
  <c r="S20" i="5"/>
  <c r="R20" i="5"/>
  <c r="T20" i="5" s="1"/>
  <c r="S19" i="5"/>
  <c r="R19" i="5"/>
  <c r="T19" i="5" s="1"/>
  <c r="S18" i="5"/>
  <c r="R18" i="5"/>
  <c r="T18" i="5" s="1"/>
  <c r="R17" i="5"/>
  <c r="T17" i="5" s="1"/>
  <c r="S17" i="5"/>
  <c r="R16" i="5"/>
  <c r="T16" i="5" s="1"/>
  <c r="S16" i="5"/>
  <c r="S15" i="5"/>
  <c r="R15" i="5"/>
  <c r="T15" i="5" s="1"/>
  <c r="R14" i="5"/>
  <c r="T14" i="5" s="1"/>
  <c r="S14" i="5"/>
  <c r="R13" i="5"/>
  <c r="S13" i="5"/>
  <c r="S12" i="5"/>
  <c r="R12" i="5"/>
  <c r="T12" i="5" s="1"/>
  <c r="S11" i="5"/>
  <c r="R11" i="5"/>
  <c r="T11" i="5" s="1"/>
  <c r="R10" i="5"/>
  <c r="S10" i="5"/>
  <c r="S9" i="5"/>
  <c r="R9" i="5"/>
  <c r="T9" i="5" s="1"/>
  <c r="S8" i="5"/>
  <c r="R8" i="5"/>
  <c r="T8" i="5" s="1"/>
  <c r="R7" i="5"/>
  <c r="S7" i="5"/>
  <c r="S6" i="5"/>
  <c r="R6" i="5"/>
  <c r="T6" i="5" s="1"/>
  <c r="R5" i="5"/>
  <c r="S5" i="5"/>
  <c r="O2" i="5"/>
  <c r="Q4" i="5"/>
  <c r="Q2" i="5" s="1"/>
  <c r="L4" i="5"/>
  <c r="R4" i="5"/>
  <c r="S4" i="5"/>
  <c r="L21" i="1"/>
  <c r="M21" i="1"/>
  <c r="O21" i="1" s="1"/>
  <c r="Q21" i="1" s="1"/>
  <c r="R21" i="1" s="1"/>
  <c r="T21" i="1" s="1"/>
  <c r="I2" i="4"/>
  <c r="R70" i="3"/>
  <c r="T70" i="3" s="1"/>
  <c r="S105" i="3"/>
  <c r="R105" i="3"/>
  <c r="T105" i="3" s="1"/>
  <c r="S104" i="3"/>
  <c r="R104" i="3"/>
  <c r="T104" i="3" s="1"/>
  <c r="S103" i="3"/>
  <c r="R103" i="3"/>
  <c r="T103" i="3" s="1"/>
  <c r="S102" i="3"/>
  <c r="R102" i="3"/>
  <c r="T102" i="3" s="1"/>
  <c r="S101" i="3"/>
  <c r="R101" i="3"/>
  <c r="T101" i="3" s="1"/>
  <c r="S100" i="3"/>
  <c r="R100" i="3"/>
  <c r="T100" i="3" s="1"/>
  <c r="S99" i="3"/>
  <c r="R99" i="3"/>
  <c r="T99" i="3" s="1"/>
  <c r="S98" i="3"/>
  <c r="R98" i="3"/>
  <c r="T98" i="3" s="1"/>
  <c r="S97" i="3"/>
  <c r="R97" i="3"/>
  <c r="T97" i="3" s="1"/>
  <c r="R96" i="3"/>
  <c r="S96" i="3"/>
  <c r="S95" i="3"/>
  <c r="R95" i="3"/>
  <c r="T95" i="3" s="1"/>
  <c r="S94" i="3"/>
  <c r="R94" i="3"/>
  <c r="T94" i="3" s="1"/>
  <c r="S93" i="3"/>
  <c r="R93" i="3"/>
  <c r="T93" i="3" s="1"/>
  <c r="S92" i="3"/>
  <c r="R92" i="3"/>
  <c r="T92" i="3" s="1"/>
  <c r="S91" i="3"/>
  <c r="R91" i="3"/>
  <c r="T91" i="3" s="1"/>
  <c r="S90" i="3"/>
  <c r="R90" i="3"/>
  <c r="T90" i="3" s="1"/>
  <c r="S89" i="3"/>
  <c r="R89" i="3"/>
  <c r="T89" i="3" s="1"/>
  <c r="S88" i="3"/>
  <c r="R88" i="3"/>
  <c r="T88" i="3" s="1"/>
  <c r="S87" i="3"/>
  <c r="R87" i="3"/>
  <c r="T87" i="3" s="1"/>
  <c r="S86" i="3"/>
  <c r="R86" i="3"/>
  <c r="T86" i="3" s="1"/>
  <c r="S85" i="3"/>
  <c r="R85" i="3"/>
  <c r="T85" i="3" s="1"/>
  <c r="S84" i="3"/>
  <c r="R84" i="3"/>
  <c r="T84" i="3" s="1"/>
  <c r="S83" i="3"/>
  <c r="R83" i="3"/>
  <c r="T83" i="3" s="1"/>
  <c r="S82" i="3"/>
  <c r="R82" i="3"/>
  <c r="T82" i="3" s="1"/>
  <c r="S81" i="3"/>
  <c r="R81" i="3"/>
  <c r="T81" i="3" s="1"/>
  <c r="S80" i="3"/>
  <c r="R80" i="3"/>
  <c r="T80" i="3" s="1"/>
  <c r="S79" i="3"/>
  <c r="R79" i="3"/>
  <c r="T79" i="3" s="1"/>
  <c r="S78" i="3"/>
  <c r="R78" i="3"/>
  <c r="T78" i="3" s="1"/>
  <c r="S77" i="3"/>
  <c r="R77" i="3"/>
  <c r="T77" i="3" s="1"/>
  <c r="R76" i="3"/>
  <c r="S76" i="3"/>
  <c r="S75" i="3"/>
  <c r="R75" i="3"/>
  <c r="T75" i="3" s="1"/>
  <c r="S74" i="3"/>
  <c r="R74" i="3"/>
  <c r="T74" i="3" s="1"/>
  <c r="S73" i="3"/>
  <c r="R73" i="3"/>
  <c r="S72" i="3"/>
  <c r="R72" i="3"/>
  <c r="T72" i="3" s="1"/>
  <c r="S71" i="3"/>
  <c r="R71" i="3"/>
  <c r="T71" i="3" s="1"/>
  <c r="R69" i="3"/>
  <c r="S69" i="3"/>
  <c r="R68" i="3"/>
  <c r="S68" i="3"/>
  <c r="S67" i="3"/>
  <c r="R67" i="3"/>
  <c r="T67" i="3" s="1"/>
  <c r="S66" i="3"/>
  <c r="R66" i="3"/>
  <c r="T66" i="3" s="1"/>
  <c r="S65" i="3"/>
  <c r="R65" i="3"/>
  <c r="T65" i="3" s="1"/>
  <c r="R64" i="3"/>
  <c r="S64" i="3"/>
  <c r="R63" i="3"/>
  <c r="T63" i="3" s="1"/>
  <c r="S63" i="3"/>
  <c r="R62" i="3"/>
  <c r="S62" i="3"/>
  <c r="R61" i="3"/>
  <c r="T61" i="3" s="1"/>
  <c r="S61" i="3"/>
  <c r="R60" i="3"/>
  <c r="S60" i="3"/>
  <c r="R59" i="3"/>
  <c r="S59" i="3"/>
  <c r="R58" i="3"/>
  <c r="S58" i="3"/>
  <c r="R57" i="3"/>
  <c r="S57" i="3"/>
  <c r="S56" i="3"/>
  <c r="R56" i="3"/>
  <c r="T56" i="3" s="1"/>
  <c r="S55" i="3"/>
  <c r="R55" i="3"/>
  <c r="T55" i="3" s="1"/>
  <c r="S54" i="3"/>
  <c r="R54" i="3"/>
  <c r="T54" i="3" s="1"/>
  <c r="R53" i="3"/>
  <c r="S53" i="3"/>
  <c r="R52" i="3"/>
  <c r="T52" i="3" s="1"/>
  <c r="S52" i="3"/>
  <c r="S51" i="3"/>
  <c r="R51" i="3"/>
  <c r="T51" i="3" s="1"/>
  <c r="S50" i="3"/>
  <c r="R50" i="3"/>
  <c r="T50" i="3" s="1"/>
  <c r="S49" i="3"/>
  <c r="R49" i="3"/>
  <c r="T49" i="3" s="1"/>
  <c r="R48" i="3"/>
  <c r="S48" i="3"/>
  <c r="S47" i="3"/>
  <c r="R47" i="3"/>
  <c r="T47" i="3" s="1"/>
  <c r="S46" i="3"/>
  <c r="R46" i="3"/>
  <c r="T46" i="3" s="1"/>
  <c r="R45" i="3"/>
  <c r="S45" i="3"/>
  <c r="S44" i="3"/>
  <c r="R44" i="3"/>
  <c r="T44" i="3" s="1"/>
  <c r="S43" i="3"/>
  <c r="R43" i="3"/>
  <c r="T43" i="3" s="1"/>
  <c r="S42" i="3"/>
  <c r="R42" i="3"/>
  <c r="T42" i="3" s="1"/>
  <c r="R41" i="3"/>
  <c r="S41" i="3"/>
  <c r="R40" i="3"/>
  <c r="T40" i="3" s="1"/>
  <c r="S40" i="3"/>
  <c r="S39" i="3"/>
  <c r="R39" i="3"/>
  <c r="T39" i="3" s="1"/>
  <c r="S38" i="3"/>
  <c r="R38" i="3"/>
  <c r="T38" i="3" s="1"/>
  <c r="S37" i="3"/>
  <c r="R37" i="3"/>
  <c r="T37" i="3" s="1"/>
  <c r="S36" i="3"/>
  <c r="R36" i="3"/>
  <c r="T36" i="3" s="1"/>
  <c r="S35" i="3"/>
  <c r="R35" i="3"/>
  <c r="T35" i="3" s="1"/>
  <c r="R34" i="3"/>
  <c r="S34" i="3"/>
  <c r="S33" i="3"/>
  <c r="R33" i="3"/>
  <c r="T33" i="3" s="1"/>
  <c r="R32" i="3"/>
  <c r="S32" i="3"/>
  <c r="S31" i="3"/>
  <c r="R31" i="3"/>
  <c r="T31" i="3" s="1"/>
  <c r="S30" i="3"/>
  <c r="R30" i="3"/>
  <c r="T30" i="3" s="1"/>
  <c r="R29" i="3"/>
  <c r="S29" i="3"/>
  <c r="R28" i="3"/>
  <c r="S28" i="3"/>
  <c r="R27" i="3"/>
  <c r="S27" i="3"/>
  <c r="R26" i="3"/>
  <c r="S26" i="3"/>
  <c r="R25" i="3"/>
  <c r="S25" i="3"/>
  <c r="S24" i="3"/>
  <c r="R24" i="3"/>
  <c r="T24" i="3" s="1"/>
  <c r="S23" i="3"/>
  <c r="R23" i="3"/>
  <c r="T23" i="3" s="1"/>
  <c r="S22" i="3"/>
  <c r="R22" i="3"/>
  <c r="T22" i="3" s="1"/>
  <c r="R21" i="3"/>
  <c r="S21" i="3"/>
  <c r="R20" i="3"/>
  <c r="S20" i="3"/>
  <c r="S19" i="3"/>
  <c r="R19" i="3"/>
  <c r="T19" i="3" s="1"/>
  <c r="R18" i="3"/>
  <c r="S18" i="3"/>
  <c r="L17" i="3"/>
  <c r="M17" i="3"/>
  <c r="O17" i="3" s="1"/>
  <c r="S17" i="3"/>
  <c r="S16" i="3"/>
  <c r="R16" i="3"/>
  <c r="M15" i="3"/>
  <c r="O15" i="3" s="1"/>
  <c r="L15" i="3"/>
  <c r="S15" i="3"/>
  <c r="M14" i="3"/>
  <c r="O14" i="3" s="1"/>
  <c r="L14" i="3"/>
  <c r="S14" i="3"/>
  <c r="M13" i="3"/>
  <c r="O13" i="3" s="1"/>
  <c r="Q13" i="3" s="1"/>
  <c r="R13" i="3" s="1"/>
  <c r="L13" i="3"/>
  <c r="S13" i="3"/>
  <c r="M11" i="3"/>
  <c r="O11" i="3" s="1"/>
  <c r="L11" i="3"/>
  <c r="S11" i="3"/>
  <c r="L10" i="3"/>
  <c r="M10" i="3"/>
  <c r="O10" i="3" s="1"/>
  <c r="S10" i="3"/>
  <c r="M9" i="3"/>
  <c r="O9" i="3" s="1"/>
  <c r="L9" i="3"/>
  <c r="S9" i="3"/>
  <c r="O8" i="3"/>
  <c r="Q8" i="3" s="1"/>
  <c r="R8" i="3" s="1"/>
  <c r="S8" i="3"/>
  <c r="J2" i="3"/>
  <c r="S7" i="3"/>
  <c r="R6" i="3"/>
  <c r="S6" i="3"/>
  <c r="S5" i="3"/>
  <c r="Q4" i="3"/>
  <c r="R4" i="3" s="1"/>
  <c r="S4" i="3"/>
  <c r="I17" i="2"/>
  <c r="L11" i="2"/>
  <c r="L16" i="1"/>
  <c r="G16" i="2"/>
  <c r="I16" i="2" s="1"/>
  <c r="I19" i="2"/>
  <c r="I18" i="2"/>
  <c r="I15" i="2"/>
  <c r="L14" i="1"/>
  <c r="G14" i="2"/>
  <c r="G13" i="2"/>
  <c r="K13" i="2" s="1"/>
  <c r="G12" i="2"/>
  <c r="K12" i="2" s="1"/>
  <c r="G10" i="2"/>
  <c r="I13" i="2"/>
  <c r="C9" i="2"/>
  <c r="F9" i="2"/>
  <c r="E9" i="2"/>
  <c r="K9" i="1"/>
  <c r="M9" i="1" s="1"/>
  <c r="O9" i="1" s="1"/>
  <c r="Q9" i="1" s="1"/>
  <c r="H8" i="2"/>
  <c r="E8" i="2"/>
  <c r="C8" i="2"/>
  <c r="K8" i="1"/>
  <c r="G8" i="1"/>
  <c r="O23" i="1"/>
  <c r="Q23" i="1" s="1"/>
  <c r="O27" i="1"/>
  <c r="Q27" i="1" s="1"/>
  <c r="O29" i="1"/>
  <c r="Q29" i="1" s="1"/>
  <c r="O32" i="1"/>
  <c r="Q32" i="1" s="1"/>
  <c r="O33" i="1"/>
  <c r="Q33" i="1" s="1"/>
  <c r="O34" i="1"/>
  <c r="Q34" i="1" s="1"/>
  <c r="O35" i="1"/>
  <c r="Q35" i="1" s="1"/>
  <c r="O36" i="1"/>
  <c r="Q36" i="1" s="1"/>
  <c r="O37" i="1"/>
  <c r="Q37" i="1" s="1"/>
  <c r="O38" i="1"/>
  <c r="Q38" i="1" s="1"/>
  <c r="O39" i="1"/>
  <c r="Q39" i="1" s="1"/>
  <c r="O40" i="1"/>
  <c r="Q40" i="1" s="1"/>
  <c r="O41" i="1"/>
  <c r="Q41" i="1" s="1"/>
  <c r="O42" i="1"/>
  <c r="Q42" i="1" s="1"/>
  <c r="O43" i="1"/>
  <c r="Q43" i="1" s="1"/>
  <c r="O44" i="1"/>
  <c r="Q44" i="1" s="1"/>
  <c r="O45" i="1"/>
  <c r="Q45" i="1" s="1"/>
  <c r="O46" i="1"/>
  <c r="Q46" i="1" s="1"/>
  <c r="O47" i="1"/>
  <c r="Q47" i="1" s="1"/>
  <c r="O48" i="1"/>
  <c r="Q48" i="1" s="1"/>
  <c r="O49" i="1"/>
  <c r="Q49" i="1" s="1"/>
  <c r="O50" i="1"/>
  <c r="Q50" i="1" s="1"/>
  <c r="O51" i="1"/>
  <c r="Q51" i="1" s="1"/>
  <c r="O52" i="1"/>
  <c r="Q52" i="1" s="1"/>
  <c r="O53" i="1"/>
  <c r="Q53" i="1" s="1"/>
  <c r="O54" i="1"/>
  <c r="Q54" i="1" s="1"/>
  <c r="O55" i="1"/>
  <c r="Q55" i="1" s="1"/>
  <c r="O56" i="1"/>
  <c r="Q56" i="1" s="1"/>
  <c r="O57" i="1"/>
  <c r="Q57" i="1" s="1"/>
  <c r="O58" i="1"/>
  <c r="Q58" i="1" s="1"/>
  <c r="O59" i="1"/>
  <c r="Q59" i="1" s="1"/>
  <c r="O60" i="1"/>
  <c r="Q60" i="1" s="1"/>
  <c r="O61" i="1"/>
  <c r="Q61" i="1" s="1"/>
  <c r="O62" i="1"/>
  <c r="Q62" i="1" s="1"/>
  <c r="O63" i="1"/>
  <c r="Q63" i="1" s="1"/>
  <c r="O64" i="1"/>
  <c r="Q64" i="1" s="1"/>
  <c r="O65" i="1"/>
  <c r="Q65" i="1" s="1"/>
  <c r="O66" i="1"/>
  <c r="Q66" i="1" s="1"/>
  <c r="O67" i="1"/>
  <c r="Q67" i="1" s="1"/>
  <c r="O68" i="1"/>
  <c r="Q68" i="1" s="1"/>
  <c r="O69" i="1"/>
  <c r="Q69" i="1" s="1"/>
  <c r="O70" i="1"/>
  <c r="Q70" i="1" s="1"/>
  <c r="O71" i="1"/>
  <c r="Q71" i="1" s="1"/>
  <c r="O72" i="1"/>
  <c r="Q72" i="1" s="1"/>
  <c r="O73" i="1"/>
  <c r="Q73" i="1" s="1"/>
  <c r="O74" i="1"/>
  <c r="Q74" i="1" s="1"/>
  <c r="O75" i="1"/>
  <c r="Q75" i="1" s="1"/>
  <c r="O76" i="1"/>
  <c r="Q76" i="1" s="1"/>
  <c r="O77" i="1"/>
  <c r="Q77" i="1" s="1"/>
  <c r="O78" i="1"/>
  <c r="Q78" i="1" s="1"/>
  <c r="O79" i="1"/>
  <c r="Q79" i="1" s="1"/>
  <c r="O80" i="1"/>
  <c r="Q80" i="1" s="1"/>
  <c r="O81" i="1"/>
  <c r="Q81" i="1" s="1"/>
  <c r="O82" i="1"/>
  <c r="Q82" i="1" s="1"/>
  <c r="O83" i="1"/>
  <c r="Q83" i="1" s="1"/>
  <c r="O84" i="1"/>
  <c r="Q84" i="1" s="1"/>
  <c r="O85" i="1"/>
  <c r="Q85" i="1" s="1"/>
  <c r="O86" i="1"/>
  <c r="Q86" i="1" s="1"/>
  <c r="O87" i="1"/>
  <c r="Q87" i="1" s="1"/>
  <c r="O88" i="1"/>
  <c r="Q88" i="1" s="1"/>
  <c r="O89" i="1"/>
  <c r="Q89" i="1" s="1"/>
  <c r="O90" i="1"/>
  <c r="Q90" i="1" s="1"/>
  <c r="O91" i="1"/>
  <c r="Q91" i="1" s="1"/>
  <c r="O92" i="1"/>
  <c r="Q92" i="1" s="1"/>
  <c r="O93" i="1"/>
  <c r="Q93" i="1" s="1"/>
  <c r="O94" i="1"/>
  <c r="Q94" i="1" s="1"/>
  <c r="O95" i="1"/>
  <c r="Q95" i="1" s="1"/>
  <c r="O96" i="1"/>
  <c r="Q96" i="1" s="1"/>
  <c r="O97" i="1"/>
  <c r="Q97" i="1" s="1"/>
  <c r="O98" i="1"/>
  <c r="Q98" i="1" s="1"/>
  <c r="O99" i="1"/>
  <c r="Q99" i="1" s="1"/>
  <c r="O100" i="1"/>
  <c r="Q100" i="1" s="1"/>
  <c r="O101" i="1"/>
  <c r="Q101" i="1" s="1"/>
  <c r="O102" i="1"/>
  <c r="Q102" i="1" s="1"/>
  <c r="O103" i="1"/>
  <c r="Q103" i="1" s="1"/>
  <c r="O104" i="1"/>
  <c r="Q104" i="1" s="1"/>
  <c r="O105" i="1"/>
  <c r="Q105" i="1" s="1"/>
  <c r="M10" i="1"/>
  <c r="O10" i="1" s="1"/>
  <c r="Q10" i="1" s="1"/>
  <c r="M12" i="1"/>
  <c r="O12" i="1" s="1"/>
  <c r="M13" i="1"/>
  <c r="O13" i="1" s="1"/>
  <c r="Q13" i="1" s="1"/>
  <c r="M14" i="1"/>
  <c r="O14" i="1" s="1"/>
  <c r="Q14" i="1" s="1"/>
  <c r="M15" i="1"/>
  <c r="O15" i="1" s="1"/>
  <c r="Q15" i="1" s="1"/>
  <c r="M16" i="1"/>
  <c r="O16" i="1" s="1"/>
  <c r="Q16" i="1" s="1"/>
  <c r="M17" i="1"/>
  <c r="O17" i="1" s="1"/>
  <c r="Q17" i="1" s="1"/>
  <c r="M18" i="1"/>
  <c r="O18" i="1" s="1"/>
  <c r="Q18" i="1" s="1"/>
  <c r="M19" i="1"/>
  <c r="O19" i="1" s="1"/>
  <c r="Q19" i="1" s="1"/>
  <c r="M20" i="1"/>
  <c r="O20" i="1" s="1"/>
  <c r="Q20" i="1" s="1"/>
  <c r="M22" i="1"/>
  <c r="O22" i="1" s="1"/>
  <c r="Q22" i="1" s="1"/>
  <c r="M23" i="1"/>
  <c r="M24" i="1"/>
  <c r="O24" i="1" s="1"/>
  <c r="Q24" i="1" s="1"/>
  <c r="M25" i="1"/>
  <c r="O25" i="1" s="1"/>
  <c r="Q25" i="1" s="1"/>
  <c r="M26" i="1"/>
  <c r="O26" i="1" s="1"/>
  <c r="Q26" i="1" s="1"/>
  <c r="M27" i="1"/>
  <c r="M28" i="1"/>
  <c r="O28" i="1" s="1"/>
  <c r="Q28" i="1" s="1"/>
  <c r="M29" i="1"/>
  <c r="M30" i="1"/>
  <c r="O30" i="1" s="1"/>
  <c r="Q30" i="1" s="1"/>
  <c r="M31" i="1"/>
  <c r="O31" i="1" s="1"/>
  <c r="Q31" i="1" s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J9" i="1"/>
  <c r="J10" i="1"/>
  <c r="J11" i="1"/>
  <c r="S11" i="1" s="1"/>
  <c r="J12" i="1"/>
  <c r="S12" i="1" s="1"/>
  <c r="J13" i="1"/>
  <c r="S13" i="1" s="1"/>
  <c r="J14" i="1"/>
  <c r="J15" i="1"/>
  <c r="S15" i="1" s="1"/>
  <c r="J16" i="1"/>
  <c r="J17" i="1"/>
  <c r="S17" i="1" s="1"/>
  <c r="J18" i="1"/>
  <c r="S18" i="1" s="1"/>
  <c r="J19" i="1"/>
  <c r="J20" i="1"/>
  <c r="S20" i="1" s="1"/>
  <c r="S22" i="1"/>
  <c r="J23" i="1"/>
  <c r="S23" i="1" s="1"/>
  <c r="J24" i="1"/>
  <c r="J25" i="1"/>
  <c r="S25" i="1" s="1"/>
  <c r="J26" i="1"/>
  <c r="J27" i="1"/>
  <c r="J28" i="1"/>
  <c r="S28" i="1" s="1"/>
  <c r="J29" i="1"/>
  <c r="S29" i="1" s="1"/>
  <c r="J30" i="1"/>
  <c r="S30" i="1" s="1"/>
  <c r="J31" i="1"/>
  <c r="J32" i="1"/>
  <c r="S32" i="1" s="1"/>
  <c r="J33" i="1"/>
  <c r="S33" i="1" s="1"/>
  <c r="J34" i="1"/>
  <c r="J35" i="1"/>
  <c r="J36" i="1"/>
  <c r="S36" i="1" s="1"/>
  <c r="J37" i="1"/>
  <c r="S37" i="1" s="1"/>
  <c r="J38" i="1"/>
  <c r="S38" i="1" s="1"/>
  <c r="J39" i="1"/>
  <c r="J40" i="1"/>
  <c r="S40" i="1" s="1"/>
  <c r="J41" i="1"/>
  <c r="S41" i="1" s="1"/>
  <c r="J42" i="1"/>
  <c r="J43" i="1"/>
  <c r="J44" i="1"/>
  <c r="S44" i="1" s="1"/>
  <c r="J45" i="1"/>
  <c r="S45" i="1" s="1"/>
  <c r="J46" i="1"/>
  <c r="S46" i="1" s="1"/>
  <c r="J47" i="1"/>
  <c r="J48" i="1"/>
  <c r="S48" i="1" s="1"/>
  <c r="J49" i="1"/>
  <c r="S49" i="1" s="1"/>
  <c r="J50" i="1"/>
  <c r="J51" i="1"/>
  <c r="J52" i="1"/>
  <c r="S52" i="1" s="1"/>
  <c r="J53" i="1"/>
  <c r="S53" i="1" s="1"/>
  <c r="J54" i="1"/>
  <c r="S54" i="1" s="1"/>
  <c r="J55" i="1"/>
  <c r="J56" i="1"/>
  <c r="S56" i="1" s="1"/>
  <c r="J57" i="1"/>
  <c r="S57" i="1" s="1"/>
  <c r="J58" i="1"/>
  <c r="J59" i="1"/>
  <c r="J60" i="1"/>
  <c r="S60" i="1" s="1"/>
  <c r="J61" i="1"/>
  <c r="S61" i="1" s="1"/>
  <c r="J62" i="1"/>
  <c r="S62" i="1" s="1"/>
  <c r="J63" i="1"/>
  <c r="J64" i="1"/>
  <c r="S64" i="1" s="1"/>
  <c r="J65" i="1"/>
  <c r="S65" i="1" s="1"/>
  <c r="J66" i="1"/>
  <c r="J67" i="1"/>
  <c r="J68" i="1"/>
  <c r="S68" i="1" s="1"/>
  <c r="J69" i="1"/>
  <c r="S69" i="1" s="1"/>
  <c r="J70" i="1"/>
  <c r="S70" i="1" s="1"/>
  <c r="J71" i="1"/>
  <c r="J72" i="1"/>
  <c r="S72" i="1" s="1"/>
  <c r="J73" i="1"/>
  <c r="S73" i="1" s="1"/>
  <c r="J74" i="1"/>
  <c r="J75" i="1"/>
  <c r="J76" i="1"/>
  <c r="S76" i="1" s="1"/>
  <c r="J77" i="1"/>
  <c r="S77" i="1" s="1"/>
  <c r="J78" i="1"/>
  <c r="S78" i="1" s="1"/>
  <c r="J79" i="1"/>
  <c r="S79" i="1" s="1"/>
  <c r="J80" i="1"/>
  <c r="S80" i="1" s="1"/>
  <c r="J81" i="1"/>
  <c r="S81" i="1" s="1"/>
  <c r="J82" i="1"/>
  <c r="J83" i="1"/>
  <c r="J84" i="1"/>
  <c r="S84" i="1" s="1"/>
  <c r="J85" i="1"/>
  <c r="S85" i="1" s="1"/>
  <c r="J86" i="1"/>
  <c r="S86" i="1" s="1"/>
  <c r="J87" i="1"/>
  <c r="S87" i="1" s="1"/>
  <c r="J88" i="1"/>
  <c r="S88" i="1" s="1"/>
  <c r="J89" i="1"/>
  <c r="S89" i="1" s="1"/>
  <c r="J90" i="1"/>
  <c r="J91" i="1"/>
  <c r="S91" i="1" s="1"/>
  <c r="J92" i="1"/>
  <c r="S92" i="1" s="1"/>
  <c r="J93" i="1"/>
  <c r="S93" i="1" s="1"/>
  <c r="J94" i="1"/>
  <c r="S94" i="1" s="1"/>
  <c r="J95" i="1"/>
  <c r="S95" i="1" s="1"/>
  <c r="J96" i="1"/>
  <c r="S96" i="1" s="1"/>
  <c r="J97" i="1"/>
  <c r="S97" i="1" s="1"/>
  <c r="J98" i="1"/>
  <c r="J99" i="1"/>
  <c r="S99" i="1" s="1"/>
  <c r="J100" i="1"/>
  <c r="S100" i="1" s="1"/>
  <c r="J101" i="1"/>
  <c r="S101" i="1" s="1"/>
  <c r="J102" i="1"/>
  <c r="S102" i="1" s="1"/>
  <c r="J103" i="1"/>
  <c r="S103" i="1" s="1"/>
  <c r="J104" i="1"/>
  <c r="S104" i="1" s="1"/>
  <c r="J105" i="1"/>
  <c r="S105" i="1" s="1"/>
  <c r="J7" i="1"/>
  <c r="S7" i="1" s="1"/>
  <c r="H7" i="2"/>
  <c r="F7" i="2"/>
  <c r="E7" i="2"/>
  <c r="C7" i="2"/>
  <c r="H6" i="2"/>
  <c r="G6" i="2"/>
  <c r="F6" i="2"/>
  <c r="E6" i="2"/>
  <c r="C6" i="2"/>
  <c r="H5" i="2"/>
  <c r="H4" i="2"/>
  <c r="G5" i="2"/>
  <c r="G4" i="2"/>
  <c r="F5" i="2"/>
  <c r="F4" i="2"/>
  <c r="E5" i="2"/>
  <c r="E4" i="2"/>
  <c r="C5" i="2"/>
  <c r="C4" i="2"/>
  <c r="B4" i="2"/>
  <c r="I2" i="1"/>
  <c r="J4" i="1"/>
  <c r="S4" i="1" s="1"/>
  <c r="K7" i="1"/>
  <c r="M4" i="1"/>
  <c r="O4" i="1" s="1"/>
  <c r="J5" i="1"/>
  <c r="S5" i="1" s="1"/>
  <c r="M5" i="1"/>
  <c r="O5" i="1" s="1"/>
  <c r="Q5" i="1" s="1"/>
  <c r="J6" i="1"/>
  <c r="S6" i="1" s="1"/>
  <c r="M6" i="1"/>
  <c r="O6" i="1" s="1"/>
  <c r="Q6" i="1" s="1"/>
  <c r="N2" i="1"/>
  <c r="H2" i="1"/>
  <c r="T59" i="3" l="1"/>
  <c r="T16" i="3"/>
  <c r="L2" i="5"/>
  <c r="E7" i="8"/>
  <c r="G7" i="8" s="1"/>
  <c r="P2" i="5"/>
  <c r="I7" i="8"/>
  <c r="O40" i="6"/>
  <c r="Q10" i="3"/>
  <c r="R10" i="3" s="1"/>
  <c r="T10" i="3" s="1"/>
  <c r="T5" i="3"/>
  <c r="I1" i="6"/>
  <c r="G2" i="6"/>
  <c r="T4" i="5"/>
  <c r="R2" i="5"/>
  <c r="T104" i="5"/>
  <c r="T100" i="5"/>
  <c r="T95" i="5"/>
  <c r="T89" i="5"/>
  <c r="T86" i="5"/>
  <c r="T79" i="5"/>
  <c r="T70" i="5"/>
  <c r="T53" i="5"/>
  <c r="T38" i="5"/>
  <c r="T13" i="5"/>
  <c r="T10" i="5"/>
  <c r="T7" i="5"/>
  <c r="T5" i="5"/>
  <c r="S2" i="5"/>
  <c r="T47" i="5"/>
  <c r="T30" i="5"/>
  <c r="T90" i="5"/>
  <c r="T81" i="5"/>
  <c r="T73" i="5"/>
  <c r="T60" i="5"/>
  <c r="T58" i="5"/>
  <c r="G2" i="4"/>
  <c r="I1" i="4"/>
  <c r="T13" i="3"/>
  <c r="T8" i="3"/>
  <c r="T58" i="3"/>
  <c r="S2" i="3"/>
  <c r="Q11" i="3"/>
  <c r="R11" i="3" s="1"/>
  <c r="T11" i="3" s="1"/>
  <c r="T96" i="3"/>
  <c r="T76" i="3"/>
  <c r="T73" i="3"/>
  <c r="T64" i="3"/>
  <c r="T62" i="3"/>
  <c r="T48" i="3"/>
  <c r="Q17" i="3"/>
  <c r="R17" i="3" s="1"/>
  <c r="T17" i="3" s="1"/>
  <c r="Q15" i="3"/>
  <c r="R15" i="3"/>
  <c r="Q14" i="3"/>
  <c r="R14" i="3" s="1"/>
  <c r="T14" i="3" s="1"/>
  <c r="Q9" i="3"/>
  <c r="R9" i="3" s="1"/>
  <c r="T9" i="3" s="1"/>
  <c r="M2" i="3"/>
  <c r="O7" i="3"/>
  <c r="T4" i="3"/>
  <c r="T68" i="3"/>
  <c r="T60" i="3"/>
  <c r="T53" i="3"/>
  <c r="T34" i="3"/>
  <c r="T32" i="3"/>
  <c r="T28" i="3"/>
  <c r="T27" i="3"/>
  <c r="T26" i="3"/>
  <c r="T25" i="3"/>
  <c r="T21" i="3"/>
  <c r="T20" i="3"/>
  <c r="T18" i="3"/>
  <c r="T15" i="3"/>
  <c r="T69" i="3"/>
  <c r="T57" i="3"/>
  <c r="T45" i="3"/>
  <c r="T41" i="3"/>
  <c r="T29" i="3"/>
  <c r="T6" i="3"/>
  <c r="R13" i="1"/>
  <c r="T13" i="1" s="1"/>
  <c r="K14" i="2"/>
  <c r="I14" i="2"/>
  <c r="F8" i="2"/>
  <c r="J8" i="1"/>
  <c r="L7" i="1"/>
  <c r="M7" i="1"/>
  <c r="O7" i="1" s="1"/>
  <c r="Q7" i="1" s="1"/>
  <c r="R7" i="1" s="1"/>
  <c r="T7" i="1" s="1"/>
  <c r="R44" i="1"/>
  <c r="T44" i="1" s="1"/>
  <c r="G2" i="1"/>
  <c r="R102" i="1"/>
  <c r="T102" i="1" s="1"/>
  <c r="R98" i="1"/>
  <c r="R94" i="1"/>
  <c r="T94" i="1" s="1"/>
  <c r="R90" i="1"/>
  <c r="R86" i="1"/>
  <c r="T86" i="1" s="1"/>
  <c r="R82" i="1"/>
  <c r="R78" i="1"/>
  <c r="T78" i="1" s="1"/>
  <c r="R74" i="1"/>
  <c r="R70" i="1"/>
  <c r="T70" i="1" s="1"/>
  <c r="R66" i="1"/>
  <c r="R62" i="1"/>
  <c r="T62" i="1" s="1"/>
  <c r="R58" i="1"/>
  <c r="R54" i="1"/>
  <c r="T54" i="1" s="1"/>
  <c r="R50" i="1"/>
  <c r="R46" i="1"/>
  <c r="T46" i="1" s="1"/>
  <c r="R42" i="1"/>
  <c r="R38" i="1"/>
  <c r="T38" i="1" s="1"/>
  <c r="R34" i="1"/>
  <c r="R30" i="1"/>
  <c r="T30" i="1" s="1"/>
  <c r="R26" i="1"/>
  <c r="R23" i="1"/>
  <c r="T23" i="1" s="1"/>
  <c r="R19" i="1"/>
  <c r="R87" i="1"/>
  <c r="T87" i="1" s="1"/>
  <c r="R28" i="1"/>
  <c r="T28" i="1" s="1"/>
  <c r="R95" i="1"/>
  <c r="T95" i="1" s="1"/>
  <c r="R101" i="1"/>
  <c r="T101" i="1" s="1"/>
  <c r="R93" i="1"/>
  <c r="T93" i="1" s="1"/>
  <c r="R85" i="1"/>
  <c r="T85" i="1" s="1"/>
  <c r="R77" i="1"/>
  <c r="T77" i="1" s="1"/>
  <c r="R69" i="1"/>
  <c r="T69" i="1" s="1"/>
  <c r="R61" i="1"/>
  <c r="T61" i="1" s="1"/>
  <c r="R53" i="1"/>
  <c r="T53" i="1" s="1"/>
  <c r="R45" i="1"/>
  <c r="T45" i="1" s="1"/>
  <c r="R37" i="1"/>
  <c r="T37" i="1" s="1"/>
  <c r="R29" i="1"/>
  <c r="T29" i="1" s="1"/>
  <c r="R22" i="1"/>
  <c r="T22" i="1" s="1"/>
  <c r="R76" i="1"/>
  <c r="T76" i="1" s="1"/>
  <c r="S98" i="1"/>
  <c r="S90" i="1"/>
  <c r="S82" i="1"/>
  <c r="S74" i="1"/>
  <c r="S66" i="1"/>
  <c r="S58" i="1"/>
  <c r="S50" i="1"/>
  <c r="S42" i="1"/>
  <c r="S34" i="1"/>
  <c r="S26" i="1"/>
  <c r="S19" i="1"/>
  <c r="R103" i="1"/>
  <c r="T103" i="1" s="1"/>
  <c r="R60" i="1"/>
  <c r="T60" i="1" s="1"/>
  <c r="R105" i="1"/>
  <c r="T105" i="1" s="1"/>
  <c r="R97" i="1"/>
  <c r="T97" i="1" s="1"/>
  <c r="R81" i="1"/>
  <c r="T81" i="1" s="1"/>
  <c r="R57" i="1"/>
  <c r="T57" i="1" s="1"/>
  <c r="R49" i="1"/>
  <c r="T49" i="1" s="1"/>
  <c r="R33" i="1"/>
  <c r="T33" i="1" s="1"/>
  <c r="R18" i="1"/>
  <c r="T18" i="1" s="1"/>
  <c r="R92" i="1"/>
  <c r="T92" i="1" s="1"/>
  <c r="R40" i="1"/>
  <c r="T40" i="1" s="1"/>
  <c r="R99" i="1"/>
  <c r="T99" i="1" s="1"/>
  <c r="R91" i="1"/>
  <c r="T91" i="1" s="1"/>
  <c r="R80" i="1"/>
  <c r="T80" i="1" s="1"/>
  <c r="R68" i="1"/>
  <c r="T68" i="1" s="1"/>
  <c r="R52" i="1"/>
  <c r="T52" i="1" s="1"/>
  <c r="R36" i="1"/>
  <c r="T36" i="1" s="1"/>
  <c r="R20" i="1"/>
  <c r="T20" i="1" s="1"/>
  <c r="K10" i="2"/>
  <c r="I10" i="2"/>
  <c r="R89" i="1"/>
  <c r="T89" i="1" s="1"/>
  <c r="R73" i="1"/>
  <c r="T73" i="1" s="1"/>
  <c r="R65" i="1"/>
  <c r="T65" i="1" s="1"/>
  <c r="R41" i="1"/>
  <c r="T41" i="1" s="1"/>
  <c r="R100" i="1"/>
  <c r="T100" i="1" s="1"/>
  <c r="R84" i="1"/>
  <c r="T84" i="1" s="1"/>
  <c r="R72" i="1"/>
  <c r="T72" i="1" s="1"/>
  <c r="R56" i="1"/>
  <c r="T56" i="1" s="1"/>
  <c r="R25" i="1"/>
  <c r="T25" i="1" s="1"/>
  <c r="L8" i="1"/>
  <c r="G8" i="2"/>
  <c r="M8" i="1"/>
  <c r="O8" i="1" s="1"/>
  <c r="Q8" i="1" s="1"/>
  <c r="I5" i="2"/>
  <c r="I6" i="2"/>
  <c r="S83" i="1"/>
  <c r="R83" i="1"/>
  <c r="S75" i="1"/>
  <c r="R75" i="1"/>
  <c r="T75" i="1" s="1"/>
  <c r="S71" i="1"/>
  <c r="R71" i="1"/>
  <c r="S67" i="1"/>
  <c r="R67" i="1"/>
  <c r="T67" i="1" s="1"/>
  <c r="S63" i="1"/>
  <c r="R63" i="1"/>
  <c r="S59" i="1"/>
  <c r="R59" i="1"/>
  <c r="T59" i="1" s="1"/>
  <c r="S55" i="1"/>
  <c r="R55" i="1"/>
  <c r="S51" i="1"/>
  <c r="R51" i="1"/>
  <c r="T51" i="1" s="1"/>
  <c r="S47" i="1"/>
  <c r="R47" i="1"/>
  <c r="S43" i="1"/>
  <c r="R43" i="1"/>
  <c r="T43" i="1" s="1"/>
  <c r="S39" i="1"/>
  <c r="R39" i="1"/>
  <c r="S35" i="1"/>
  <c r="R35" i="1"/>
  <c r="T35" i="1" s="1"/>
  <c r="S31" i="1"/>
  <c r="R31" i="1"/>
  <c r="S27" i="1"/>
  <c r="R27" i="1"/>
  <c r="S24" i="1"/>
  <c r="R24" i="1"/>
  <c r="S16" i="1"/>
  <c r="R16" i="1"/>
  <c r="R104" i="1"/>
  <c r="T104" i="1" s="1"/>
  <c r="R96" i="1"/>
  <c r="T96" i="1" s="1"/>
  <c r="R88" i="1"/>
  <c r="T88" i="1" s="1"/>
  <c r="R79" i="1"/>
  <c r="T79" i="1" s="1"/>
  <c r="R64" i="1"/>
  <c r="T64" i="1" s="1"/>
  <c r="R48" i="1"/>
  <c r="T48" i="1" s="1"/>
  <c r="R32" i="1"/>
  <c r="T32" i="1" s="1"/>
  <c r="R17" i="1"/>
  <c r="T17" i="1" s="1"/>
  <c r="L9" i="1"/>
  <c r="G9" i="2"/>
  <c r="Q4" i="1"/>
  <c r="R4" i="1" s="1"/>
  <c r="T4" i="1" s="1"/>
  <c r="L4" i="1"/>
  <c r="I12" i="2"/>
  <c r="G7" i="2"/>
  <c r="I7" i="2" s="1"/>
  <c r="R15" i="1"/>
  <c r="T15" i="1" s="1"/>
  <c r="R14" i="1"/>
  <c r="S14" i="1"/>
  <c r="Q12" i="1"/>
  <c r="R12" i="1" s="1"/>
  <c r="T12" i="1" s="1"/>
  <c r="R10" i="1"/>
  <c r="S10" i="1"/>
  <c r="R9" i="1"/>
  <c r="S9" i="1"/>
  <c r="H2" i="2"/>
  <c r="I4" i="2"/>
  <c r="J2" i="2"/>
  <c r="R6" i="1"/>
  <c r="T6" i="1" s="1"/>
  <c r="R5" i="1"/>
  <c r="T5" i="1" s="1"/>
  <c r="T27" i="1" l="1"/>
  <c r="K7" i="8"/>
  <c r="K2" i="5"/>
  <c r="O42" i="6"/>
  <c r="O44" i="6" s="1"/>
  <c r="K2" i="6" s="1"/>
  <c r="T2" i="5"/>
  <c r="O2" i="3"/>
  <c r="Q7" i="3"/>
  <c r="I8" i="2"/>
  <c r="F2" i="2"/>
  <c r="S8" i="1"/>
  <c r="S2" i="1" s="1"/>
  <c r="J2" i="1"/>
  <c r="T26" i="1"/>
  <c r="T58" i="1"/>
  <c r="T90" i="1"/>
  <c r="R8" i="1"/>
  <c r="T14" i="1"/>
  <c r="T42" i="1"/>
  <c r="T74" i="1"/>
  <c r="T19" i="1"/>
  <c r="T34" i="1"/>
  <c r="T50" i="1"/>
  <c r="T66" i="1"/>
  <c r="T82" i="1"/>
  <c r="T98" i="1"/>
  <c r="K9" i="2"/>
  <c r="I9" i="2"/>
  <c r="T16" i="1"/>
  <c r="T24" i="1"/>
  <c r="T31" i="1"/>
  <c r="T39" i="1"/>
  <c r="T47" i="1"/>
  <c r="T55" i="1"/>
  <c r="T63" i="1"/>
  <c r="T71" i="1"/>
  <c r="T83" i="1"/>
  <c r="T10" i="1"/>
  <c r="T9" i="1"/>
  <c r="G11" i="2"/>
  <c r="I11" i="2" s="1"/>
  <c r="L11" i="1"/>
  <c r="M11" i="1"/>
  <c r="M2" i="1" s="1"/>
  <c r="O11" i="1"/>
  <c r="O2" i="1"/>
  <c r="L2" i="1" l="1"/>
  <c r="E5" i="8"/>
  <c r="G5" i="8" s="1"/>
  <c r="L2" i="3"/>
  <c r="E6" i="8"/>
  <c r="Q2" i="3"/>
  <c r="R7" i="3"/>
  <c r="T8" i="1"/>
  <c r="K11" i="2"/>
  <c r="I2" i="2"/>
  <c r="Q11" i="1"/>
  <c r="Q2" i="1" s="1"/>
  <c r="R11" i="1"/>
  <c r="O41" i="2" l="1"/>
  <c r="I5" i="8"/>
  <c r="K5" i="8" s="1"/>
  <c r="E9" i="8"/>
  <c r="G6" i="8"/>
  <c r="O40" i="4"/>
  <c r="I6" i="8"/>
  <c r="P2" i="3"/>
  <c r="T7" i="3"/>
  <c r="T2" i="3" s="1"/>
  <c r="R2" i="3"/>
  <c r="G2" i="2"/>
  <c r="I1" i="2"/>
  <c r="R2" i="1"/>
  <c r="K2" i="1" s="1"/>
  <c r="T11" i="1"/>
  <c r="T2" i="1" s="1"/>
  <c r="O43" i="2" s="1"/>
  <c r="P2" i="1"/>
  <c r="K6" i="8" l="1"/>
  <c r="O45" i="2"/>
  <c r="K2" i="2" s="1"/>
  <c r="I9" i="8"/>
  <c r="I11" i="8" s="1"/>
  <c r="G9" i="8"/>
  <c r="K2" i="3"/>
  <c r="O42" i="4"/>
  <c r="O44" i="4" s="1"/>
  <c r="K2" i="4" s="1"/>
  <c r="K9" i="8" l="1"/>
  <c r="K4" i="6" l="1"/>
  <c r="K4" i="4"/>
  <c r="K4" i="2"/>
</calcChain>
</file>

<file path=xl/sharedStrings.xml><?xml version="1.0" encoding="utf-8"?>
<sst xmlns="http://schemas.openxmlformats.org/spreadsheetml/2006/main" count="367" uniqueCount="106">
  <si>
    <t>TOTAL</t>
  </si>
  <si>
    <t>Fecha</t>
  </si>
  <si>
    <t>Manifiesto</t>
  </si>
  <si>
    <t>Agricultor</t>
  </si>
  <si>
    <t>Cliente</t>
  </si>
  <si>
    <t>Producto</t>
  </si>
  <si>
    <t>Enviadas</t>
  </si>
  <si>
    <t>Reportadas</t>
  </si>
  <si>
    <t>Merma</t>
  </si>
  <si>
    <t>x reportar</t>
  </si>
  <si>
    <t>Precio</t>
  </si>
  <si>
    <t>$ KG</t>
  </si>
  <si>
    <t>Venta</t>
  </si>
  <si>
    <t>Gastos</t>
  </si>
  <si>
    <t>Subtotal</t>
  </si>
  <si>
    <t>Comisión</t>
  </si>
  <si>
    <t>Comisión CBE</t>
  </si>
  <si>
    <t>Total</t>
  </si>
  <si>
    <t>Estimado</t>
  </si>
  <si>
    <t>Real + Est</t>
  </si>
  <si>
    <t>H2E</t>
  </si>
  <si>
    <t>Carlos Perez</t>
  </si>
  <si>
    <t>Tomatillo</t>
  </si>
  <si>
    <t>Mayojoa</t>
  </si>
  <si>
    <t>Luis Carlos Cejudo</t>
  </si>
  <si>
    <t>Bodega Lizarraga</t>
  </si>
  <si>
    <t>Porfirio Casarez</t>
  </si>
  <si>
    <t>Jorge Luis Zazueta</t>
  </si>
  <si>
    <t>Ziracua</t>
  </si>
  <si>
    <t>Efrén Medina</t>
  </si>
  <si>
    <t>Cajas por compensación de diferencia en peso</t>
  </si>
  <si>
    <t>Frutierrez</t>
  </si>
  <si>
    <t>Samuel Cuadras</t>
  </si>
  <si>
    <t>Morrón V</t>
  </si>
  <si>
    <t>Tomate</t>
  </si>
  <si>
    <t>VENTAS</t>
  </si>
  <si>
    <t>x kg</t>
  </si>
  <si>
    <t>Est Pen x Pagar</t>
  </si>
  <si>
    <t>PAGOS</t>
  </si>
  <si>
    <t>Liquidación</t>
  </si>
  <si>
    <t>Cajas</t>
  </si>
  <si>
    <t>Monto</t>
  </si>
  <si>
    <t>Pago a H2E</t>
  </si>
  <si>
    <t>Cajas x Reportar</t>
  </si>
  <si>
    <t>20260416-01</t>
  </si>
  <si>
    <t>Pagado</t>
  </si>
  <si>
    <t>Ret Est H2E</t>
  </si>
  <si>
    <t>20260416-02</t>
  </si>
  <si>
    <t>20260416-03</t>
  </si>
  <si>
    <t>20260416-04</t>
  </si>
  <si>
    <t>20260416-05</t>
  </si>
  <si>
    <t>20260417-01</t>
  </si>
  <si>
    <t>20260417-02</t>
  </si>
  <si>
    <t>20260417-03</t>
  </si>
  <si>
    <t>Pendiente</t>
  </si>
  <si>
    <t>20260418-01</t>
  </si>
  <si>
    <t>20260418-02</t>
  </si>
  <si>
    <t>20260420-01</t>
  </si>
  <si>
    <t>20260420-02</t>
  </si>
  <si>
    <t>20260421-02</t>
  </si>
  <si>
    <t>20260422-01</t>
  </si>
  <si>
    <t>20260422-02</t>
  </si>
  <si>
    <t>20260424-01</t>
  </si>
  <si>
    <t>202604424-02</t>
  </si>
  <si>
    <t>202604425-01</t>
  </si>
  <si>
    <t>202604425-02</t>
  </si>
  <si>
    <t>202604425-03</t>
  </si>
  <si>
    <t>202604425-04</t>
  </si>
  <si>
    <t>20260504-01</t>
  </si>
  <si>
    <t>20260505-02</t>
  </si>
  <si>
    <t>20260507-01</t>
  </si>
  <si>
    <t>20260507-02</t>
  </si>
  <si>
    <t>Retorno Com</t>
  </si>
  <si>
    <t>vta est</t>
  </si>
  <si>
    <t>balance est</t>
  </si>
  <si>
    <t>20260423-01</t>
  </si>
  <si>
    <t>20260428-01</t>
  </si>
  <si>
    <t>20260430-01</t>
  </si>
  <si>
    <t>20260502-01</t>
  </si>
  <si>
    <t>20260505-01</t>
  </si>
  <si>
    <t>20260427-01</t>
  </si>
  <si>
    <t>Balance 2da Etapa</t>
  </si>
  <si>
    <t>venta</t>
  </si>
  <si>
    <t>pagos</t>
  </si>
  <si>
    <t>por pagar</t>
  </si>
  <si>
    <t>comision cbe</t>
  </si>
  <si>
    <t>comision pagada</t>
  </si>
  <si>
    <t>balance p/h2e</t>
  </si>
  <si>
    <t>tomatillo</t>
  </si>
  <si>
    <t>roma</t>
  </si>
  <si>
    <t>morron</t>
  </si>
  <si>
    <t>comision cxp</t>
  </si>
  <si>
    <t>20260509-01</t>
  </si>
  <si>
    <t>20260508-03</t>
  </si>
  <si>
    <t>20260508-02</t>
  </si>
  <si>
    <t>20260511-01</t>
  </si>
  <si>
    <t>20260511-02</t>
  </si>
  <si>
    <t>20260511-03</t>
  </si>
  <si>
    <t>Epifanio Lopez</t>
  </si>
  <si>
    <t>20260508-01</t>
  </si>
  <si>
    <t>20260511-04</t>
  </si>
  <si>
    <t>20260512-01</t>
  </si>
  <si>
    <t>$45 mil pesos de flete pagados por H2E</t>
  </si>
  <si>
    <t>20260513-01</t>
  </si>
  <si>
    <t>20260513-02</t>
  </si>
  <si>
    <t>20260513-03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</si>
</sst>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_);_(* \(#,##0\);_(* &quot;-&quot;??_);_(@_)"/>
    <numFmt numFmtId="166" formatCode="_-* #,##0_-;\-* #,##0_-;_-* &quot;-&quot;??_-;_-@_-"/>
    <numFmt numFmtId="167" formatCode="_-[$$-409]* #,##0.00_ ;_-[$$-409]* \-#,##0.00\ ;_-[$$-409]* &quot;-&quot;??_ ;_-@_ "/>
    <numFmt numFmtId="168" formatCode="_-[$$-80A]* #,##0.00_-;\-[$$-80A]* #,##0.00_-;_-[$$-80A]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2" xfId="2" applyNumberFormat="1" applyFont="1" applyFill="1" applyBorder="1" applyAlignment="1">
      <alignment horizontal="center" vertical="center"/>
    </xf>
    <xf numFmtId="166" fontId="2" fillId="2" borderId="3" xfId="1" applyNumberFormat="1" applyFont="1" applyFill="1" applyBorder="1" applyAlignment="1">
      <alignment horizontal="center" vertical="center"/>
    </xf>
    <xf numFmtId="1" fontId="2" fillId="2" borderId="3" xfId="2" applyNumberFormat="1" applyFont="1" applyFill="1" applyBorder="1" applyAlignment="1">
      <alignment horizontal="center" vertical="center"/>
    </xf>
    <xf numFmtId="165" fontId="2" fillId="2" borderId="3" xfId="2" applyNumberFormat="1" applyFont="1" applyFill="1" applyBorder="1" applyAlignment="1">
      <alignment horizontal="center" vertical="center"/>
    </xf>
    <xf numFmtId="44" fontId="2" fillId="2" borderId="3" xfId="2" applyFont="1" applyFill="1" applyBorder="1" applyAlignment="1">
      <alignment horizontal="center" vertical="center"/>
    </xf>
    <xf numFmtId="9" fontId="2" fillId="2" borderId="3" xfId="3" applyFont="1" applyFill="1" applyBorder="1" applyAlignment="1">
      <alignment horizontal="center" vertical="center"/>
    </xf>
    <xf numFmtId="44" fontId="2" fillId="2" borderId="3" xfId="0" applyNumberFormat="1" applyFont="1" applyFill="1" applyBorder="1" applyAlignment="1">
      <alignment horizontal="center" vertical="center"/>
    </xf>
    <xf numFmtId="44" fontId="0" fillId="0" borderId="0" xfId="2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44" fontId="2" fillId="3" borderId="5" xfId="2" applyFont="1" applyFill="1" applyBorder="1" applyAlignment="1">
      <alignment horizontal="center" vertical="center"/>
    </xf>
    <xf numFmtId="44" fontId="2" fillId="3" borderId="6" xfId="2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6" fontId="0" fillId="0" borderId="8" xfId="1" applyNumberFormat="1" applyFont="1" applyFill="1" applyBorder="1" applyAlignment="1">
      <alignment horizontal="center" vertical="center"/>
    </xf>
    <xf numFmtId="44" fontId="0" fillId="0" borderId="8" xfId="2" applyFont="1" applyFill="1" applyBorder="1" applyAlignment="1">
      <alignment horizontal="center" vertical="center"/>
    </xf>
    <xf numFmtId="9" fontId="0" fillId="0" borderId="8" xfId="3" applyFont="1" applyFill="1" applyBorder="1" applyAlignment="1">
      <alignment horizontal="center" vertical="center"/>
    </xf>
    <xf numFmtId="44" fontId="0" fillId="4" borderId="3" xfId="0" applyNumberForma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6" fontId="0" fillId="0" borderId="3" xfId="1" applyNumberFormat="1" applyFont="1" applyFill="1" applyBorder="1" applyAlignment="1">
      <alignment horizontal="center" vertical="center"/>
    </xf>
    <xf numFmtId="44" fontId="0" fillId="0" borderId="3" xfId="2" applyFont="1" applyFill="1" applyBorder="1" applyAlignment="1">
      <alignment horizontal="center" vertical="center"/>
    </xf>
    <xf numFmtId="166" fontId="0" fillId="0" borderId="3" xfId="1" applyNumberFormat="1" applyFont="1" applyBorder="1" applyAlignment="1">
      <alignment horizontal="center" vertical="center"/>
    </xf>
    <xf numFmtId="166" fontId="0" fillId="0" borderId="8" xfId="1" applyNumberFormat="1" applyFont="1" applyBorder="1" applyAlignment="1">
      <alignment horizontal="center" vertical="center"/>
    </xf>
    <xf numFmtId="9" fontId="0" fillId="0" borderId="3" xfId="3" applyFont="1" applyFill="1" applyBorder="1" applyAlignment="1">
      <alignment horizontal="center" vertical="center"/>
    </xf>
    <xf numFmtId="44" fontId="0" fillId="5" borderId="3" xfId="2" applyFont="1" applyFill="1" applyBorder="1" applyAlignment="1">
      <alignment horizontal="center" vertical="center"/>
    </xf>
    <xf numFmtId="9" fontId="0" fillId="0" borderId="3" xfId="2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4" fontId="0" fillId="0" borderId="0" xfId="2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44" fontId="0" fillId="6" borderId="8" xfId="2" applyFont="1" applyFill="1" applyBorder="1" applyAlignment="1">
      <alignment horizontal="center" vertical="center"/>
    </xf>
    <xf numFmtId="44" fontId="0" fillId="6" borderId="3" xfId="2" applyFont="1" applyFill="1" applyBorder="1" applyAlignment="1">
      <alignment horizontal="center" vertical="center"/>
    </xf>
    <xf numFmtId="44" fontId="0" fillId="6" borderId="3" xfId="0" applyNumberFormat="1" applyFill="1" applyBorder="1" applyAlignment="1">
      <alignment horizontal="center" vertical="center"/>
    </xf>
    <xf numFmtId="166" fontId="0" fillId="6" borderId="8" xfId="1" applyNumberFormat="1" applyFont="1" applyFill="1" applyBorder="1" applyAlignment="1">
      <alignment horizontal="center" vertical="center"/>
    </xf>
    <xf numFmtId="44" fontId="0" fillId="0" borderId="8" xfId="0" applyNumberForma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44" fontId="0" fillId="0" borderId="0" xfId="2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 vertical="center"/>
    </xf>
    <xf numFmtId="44" fontId="2" fillId="7" borderId="10" xfId="2" applyFont="1" applyFill="1" applyBorder="1" applyAlignment="1">
      <alignment horizontal="center"/>
    </xf>
    <xf numFmtId="44" fontId="2" fillId="7" borderId="10" xfId="0" applyNumberFormat="1" applyFont="1" applyFill="1" applyBorder="1" applyAlignment="1">
      <alignment horizontal="center"/>
    </xf>
    <xf numFmtId="44" fontId="2" fillId="7" borderId="11" xfId="2" applyFont="1" applyFill="1" applyBorder="1" applyAlignment="1">
      <alignment horizontal="center"/>
    </xf>
    <xf numFmtId="44" fontId="2" fillId="7" borderId="12" xfId="2" applyFont="1" applyFill="1" applyBorder="1" applyAlignment="1">
      <alignment horizontal="center"/>
    </xf>
    <xf numFmtId="44" fontId="3" fillId="8" borderId="13" xfId="2" applyFont="1" applyFill="1" applyBorder="1" applyAlignment="1">
      <alignment horizontal="center"/>
    </xf>
    <xf numFmtId="44" fontId="3" fillId="0" borderId="0" xfId="2" applyFont="1" applyAlignment="1">
      <alignment horizontal="left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44" fontId="2" fillId="2" borderId="15" xfId="2" applyFont="1" applyFill="1" applyBorder="1" applyAlignment="1">
      <alignment horizontal="center"/>
    </xf>
    <xf numFmtId="44" fontId="2" fillId="2" borderId="17" xfId="2" applyFont="1" applyFill="1" applyBorder="1" applyAlignment="1">
      <alignment horizontal="center"/>
    </xf>
    <xf numFmtId="44" fontId="2" fillId="2" borderId="9" xfId="2" applyFont="1" applyFill="1" applyBorder="1" applyAlignment="1">
      <alignment horizontal="center"/>
    </xf>
    <xf numFmtId="44" fontId="2" fillId="2" borderId="18" xfId="2" applyFont="1" applyFill="1" applyBorder="1" applyAlignment="1">
      <alignment horizontal="center"/>
    </xf>
    <xf numFmtId="37" fontId="3" fillId="9" borderId="11" xfId="2" applyNumberFormat="1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44" fontId="2" fillId="2" borderId="20" xfId="2" applyFont="1" applyFill="1" applyBorder="1" applyAlignment="1">
      <alignment horizontal="center"/>
    </xf>
    <xf numFmtId="44" fontId="3" fillId="7" borderId="9" xfId="2" applyFont="1" applyFill="1" applyBorder="1" applyAlignment="1">
      <alignment horizontal="center"/>
    </xf>
    <xf numFmtId="14" fontId="0" fillId="0" borderId="24" xfId="0" applyNumberFormat="1" applyBorder="1" applyAlignment="1">
      <alignment horizontal="center"/>
    </xf>
    <xf numFmtId="44" fontId="0" fillId="0" borderId="25" xfId="2" applyFont="1" applyBorder="1" applyAlignment="1">
      <alignment horizontal="center"/>
    </xf>
    <xf numFmtId="14" fontId="0" fillId="0" borderId="26" xfId="0" applyNumberFormat="1" applyBorder="1" applyAlignment="1">
      <alignment horizontal="center"/>
    </xf>
    <xf numFmtId="44" fontId="0" fillId="0" borderId="27" xfId="2" applyFont="1" applyBorder="1" applyAlignment="1">
      <alignment horizontal="center"/>
    </xf>
    <xf numFmtId="4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44" fontId="0" fillId="0" borderId="3" xfId="2" applyFon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0" xfId="0" applyBorder="1" applyAlignment="1">
      <alignment horizontal="center"/>
    </xf>
    <xf numFmtId="44" fontId="0" fillId="0" borderId="31" xfId="2" applyFont="1" applyBorder="1" applyAlignment="1">
      <alignment horizontal="center"/>
    </xf>
    <xf numFmtId="16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22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44" fontId="0" fillId="0" borderId="22" xfId="2" applyFont="1" applyFill="1" applyBorder="1" applyAlignment="1">
      <alignment horizontal="center"/>
    </xf>
    <xf numFmtId="44" fontId="0" fillId="0" borderId="8" xfId="2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8" xfId="0" applyBorder="1" applyAlignment="1">
      <alignment horizontal="center" vertical="center"/>
    </xf>
    <xf numFmtId="44" fontId="0" fillId="0" borderId="28" xfId="2" applyFont="1" applyFill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0" fontId="7" fillId="0" borderId="28" xfId="0" applyFon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7" fillId="0" borderId="3" xfId="0" applyFont="1" applyBorder="1" applyAlignment="1">
      <alignment horizontal="center"/>
    </xf>
    <xf numFmtId="44" fontId="0" fillId="0" borderId="29" xfId="2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0" fillId="0" borderId="3" xfId="1" applyNumberFormat="1" applyFont="1" applyFill="1" applyBorder="1" applyAlignment="1">
      <alignment horizontal="center" vertical="center"/>
    </xf>
    <xf numFmtId="14" fontId="0" fillId="0" borderId="28" xfId="0" applyNumberFormat="1" applyBorder="1" applyAlignment="1">
      <alignment horizontal="center" vertical="center"/>
    </xf>
    <xf numFmtId="0" fontId="0" fillId="0" borderId="28" xfId="1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44" fontId="1" fillId="0" borderId="3" xfId="2" applyFont="1" applyFill="1" applyBorder="1" applyAlignment="1">
      <alignment horizontal="center"/>
    </xf>
    <xf numFmtId="44" fontId="1" fillId="0" borderId="32" xfId="2" applyFont="1" applyFill="1" applyBorder="1" applyAlignment="1">
      <alignment horizontal="center"/>
    </xf>
    <xf numFmtId="44" fontId="0" fillId="0" borderId="33" xfId="2" applyFont="1" applyFill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14" fontId="0" fillId="10" borderId="21" xfId="0" applyNumberFormat="1" applyFill="1" applyBorder="1" applyAlignment="1">
      <alignment horizontal="center"/>
    </xf>
    <xf numFmtId="0" fontId="0" fillId="10" borderId="22" xfId="0" applyFill="1" applyBorder="1" applyAlignment="1">
      <alignment horizontal="center"/>
    </xf>
    <xf numFmtId="0" fontId="0" fillId="10" borderId="22" xfId="0" applyFill="1" applyBorder="1" applyAlignment="1">
      <alignment horizontal="center" vertical="center"/>
    </xf>
    <xf numFmtId="44" fontId="0" fillId="10" borderId="22" xfId="2" applyFont="1" applyFill="1" applyBorder="1" applyAlignment="1">
      <alignment horizontal="center"/>
    </xf>
    <xf numFmtId="44" fontId="0" fillId="10" borderId="8" xfId="2" applyFont="1" applyFill="1" applyBorder="1" applyAlignment="1">
      <alignment horizontal="center"/>
    </xf>
    <xf numFmtId="0" fontId="7" fillId="10" borderId="23" xfId="0" applyFont="1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7" fillId="10" borderId="12" xfId="0" applyFont="1" applyFill="1" applyBorder="1" applyAlignment="1">
      <alignment horizontal="center"/>
    </xf>
    <xf numFmtId="44" fontId="0" fillId="10" borderId="3" xfId="2" applyFont="1" applyFill="1" applyBorder="1" applyAlignment="1">
      <alignment horizontal="center"/>
    </xf>
    <xf numFmtId="14" fontId="0" fillId="5" borderId="21" xfId="0" applyNumberFormat="1" applyFill="1" applyBorder="1" applyAlignment="1">
      <alignment horizontal="center"/>
    </xf>
    <xf numFmtId="0" fontId="7" fillId="10" borderId="13" xfId="0" applyFont="1" applyFill="1" applyBorder="1" applyAlignment="1">
      <alignment horizont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6" fontId="0" fillId="2" borderId="3" xfId="1" applyNumberFormat="1" applyFont="1" applyFill="1" applyBorder="1" applyAlignment="1">
      <alignment horizontal="center" vertical="center"/>
    </xf>
    <xf numFmtId="166" fontId="0" fillId="2" borderId="8" xfId="1" applyNumberFormat="1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44" fontId="0" fillId="2" borderId="3" xfId="2" applyFont="1" applyFill="1" applyBorder="1" applyAlignment="1">
      <alignment horizontal="center" vertical="center"/>
    </xf>
    <xf numFmtId="44" fontId="0" fillId="2" borderId="8" xfId="2" applyFont="1" applyFill="1" applyBorder="1" applyAlignment="1">
      <alignment horizontal="center" vertical="center"/>
    </xf>
    <xf numFmtId="9" fontId="0" fillId="2" borderId="3" xfId="3" applyFont="1" applyFill="1" applyBorder="1" applyAlignment="1">
      <alignment horizontal="center" vertical="center"/>
    </xf>
    <xf numFmtId="44" fontId="0" fillId="2" borderId="3" xfId="0" applyNumberFormat="1" applyFill="1" applyBorder="1" applyAlignment="1">
      <alignment horizontal="center" vertical="center"/>
    </xf>
    <xf numFmtId="44" fontId="0" fillId="2" borderId="0" xfId="2" applyFont="1" applyFill="1" applyAlignment="1">
      <alignment horizontal="center" vertical="center"/>
    </xf>
    <xf numFmtId="14" fontId="0" fillId="2" borderId="21" xfId="0" applyNumberFormat="1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44" fontId="0" fillId="2" borderId="22" xfId="2" applyFont="1" applyFill="1" applyBorder="1" applyAlignment="1">
      <alignment horizontal="center"/>
    </xf>
    <xf numFmtId="44" fontId="0" fillId="2" borderId="3" xfId="2" applyFont="1" applyFill="1" applyBorder="1" applyAlignment="1">
      <alignment horizontal="center"/>
    </xf>
    <xf numFmtId="44" fontId="0" fillId="2" borderId="8" xfId="2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7" fillId="10" borderId="3" xfId="0" applyFont="1" applyFill="1" applyBorder="1" applyAlignment="1">
      <alignment horizontal="center"/>
    </xf>
    <xf numFmtId="44" fontId="5" fillId="0" borderId="0" xfId="2" applyFont="1" applyAlignment="1">
      <alignment horizontal="center"/>
    </xf>
    <xf numFmtId="0" fontId="5" fillId="0" borderId="0" xfId="0" applyFont="1" applyAlignment="1">
      <alignment horizontal="left"/>
    </xf>
    <xf numFmtId="44" fontId="0" fillId="0" borderId="0" xfId="2" applyFont="1" applyBorder="1" applyAlignment="1">
      <alignment horizontal="center"/>
    </xf>
    <xf numFmtId="44" fontId="3" fillId="7" borderId="10" xfId="2" applyFont="1" applyFill="1" applyBorder="1" applyAlignment="1">
      <alignment horizontal="center"/>
    </xf>
    <xf numFmtId="37" fontId="3" fillId="9" borderId="35" xfId="2" applyNumberFormat="1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 vertical="center"/>
    </xf>
    <xf numFmtId="44" fontId="2" fillId="7" borderId="35" xfId="2" applyFont="1" applyFill="1" applyBorder="1" applyAlignment="1">
      <alignment horizontal="center"/>
    </xf>
    <xf numFmtId="44" fontId="2" fillId="7" borderId="35" xfId="0" applyNumberFormat="1" applyFont="1" applyFill="1" applyBorder="1" applyAlignment="1">
      <alignment horizontal="center"/>
    </xf>
    <xf numFmtId="44" fontId="2" fillId="7" borderId="13" xfId="2" applyFont="1" applyFill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44" fontId="2" fillId="2" borderId="5" xfId="2" applyFont="1" applyFill="1" applyBorder="1" applyAlignment="1">
      <alignment horizontal="center"/>
    </xf>
    <xf numFmtId="44" fontId="2" fillId="2" borderId="36" xfId="2" applyFont="1" applyFill="1" applyBorder="1" applyAlignment="1">
      <alignment horizontal="center"/>
    </xf>
    <xf numFmtId="44" fontId="2" fillId="2" borderId="37" xfId="2" applyFont="1" applyFill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0" fillId="10" borderId="29" xfId="0" applyFill="1" applyBorder="1" applyAlignment="1">
      <alignment horizontal="center"/>
    </xf>
    <xf numFmtId="44" fontId="0" fillId="10" borderId="29" xfId="2" applyFont="1" applyFill="1" applyBorder="1" applyAlignment="1">
      <alignment horizontal="center"/>
    </xf>
    <xf numFmtId="0" fontId="7" fillId="10" borderId="29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0" fillId="10" borderId="28" xfId="0" applyFill="1" applyBorder="1" applyAlignment="1">
      <alignment horizontal="center"/>
    </xf>
    <xf numFmtId="44" fontId="0" fillId="10" borderId="28" xfId="2" applyFont="1" applyFill="1" applyBorder="1" applyAlignment="1">
      <alignment horizontal="center"/>
    </xf>
    <xf numFmtId="0" fontId="7" fillId="10" borderId="28" xfId="0" applyFont="1" applyFill="1" applyBorder="1" applyAlignment="1">
      <alignment horizontal="center"/>
    </xf>
    <xf numFmtId="168" fontId="0" fillId="0" borderId="0" xfId="0" applyNumberFormat="1"/>
    <xf numFmtId="168" fontId="0" fillId="0" borderId="0" xfId="0" applyNumberFormat="1" applyAlignment="1">
      <alignment horizontal="center"/>
    </xf>
    <xf numFmtId="168" fontId="0" fillId="0" borderId="38" xfId="0" applyNumberFormat="1" applyBorder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168" fontId="0" fillId="10" borderId="0" xfId="0" applyNumberFormat="1" applyFill="1" applyAlignment="1">
      <alignment horizontal="center"/>
    </xf>
    <xf numFmtId="168" fontId="0" fillId="10" borderId="38" xfId="0" applyNumberFormat="1" applyFill="1" applyBorder="1" applyAlignment="1">
      <alignment horizontal="center"/>
    </xf>
    <xf numFmtId="14" fontId="0" fillId="10" borderId="3" xfId="0" applyNumberFormat="1" applyFill="1" applyBorder="1" applyAlignment="1">
      <alignment horizontal="center"/>
    </xf>
    <xf numFmtId="0" fontId="0" fillId="10" borderId="3" xfId="0" applyFill="1" applyBorder="1" applyAlignment="1">
      <alignment horizontal="center" vertical="center"/>
    </xf>
    <xf numFmtId="9" fontId="0" fillId="2" borderId="3" xfId="2" applyNumberFormat="1" applyFont="1" applyFill="1" applyBorder="1" applyAlignment="1">
      <alignment horizontal="center" vertical="center"/>
    </xf>
    <xf numFmtId="14" fontId="0" fillId="10" borderId="8" xfId="0" applyNumberFormat="1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8" xfId="0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3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64c979621066deb/Comercial%20Batiz%20Esquer/Ventas%20CBE-H2E1.xlsx" TargetMode="External"/><Relationship Id="rId1" Type="http://schemas.openxmlformats.org/officeDocument/2006/relationships/externalLinkPath" Target="Ventas%20CBE-H2E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E64C979621066DEB" itemId="E64C979621066DEB!sd324e20c5f724878951239c4fd890e7e">
      <xxl21:absoluteUrl r:id="rId2"/>
    </xxl21:alternateUrls>
    <sheetNames>
      <sheetName val="VENTAS"/>
      <sheetName val="Estado de Cuenta"/>
    </sheetNames>
    <sheetDataSet>
      <sheetData sheetId="0">
        <row r="2">
          <cell r="R2">
            <v>691969.5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C3981-8E5A-4436-B2C6-E1A6D261A1E4}">
  <dimension ref="A2:AC105"/>
  <sheetViews>
    <sheetView topLeftCell="N10" zoomScale="80" zoomScaleNormal="80" workbookViewId="0">
      <selection activeCell="P26" sqref="P26"/>
    </sheetView>
  </sheetViews>
  <sheetFormatPr baseColWidth="10" defaultColWidth="11.42578125" defaultRowHeight="15" x14ac:dyDescent="0.25"/>
  <cols>
    <col min="1" max="1" width="1.42578125" style="1" customWidth="1"/>
    <col min="2" max="2" width="11.28515625" style="1" bestFit="1" customWidth="1"/>
    <col min="3" max="3" width="11.42578125" style="1" customWidth="1"/>
    <col min="4" max="4" width="9.7109375" style="1" bestFit="1" customWidth="1"/>
    <col min="5" max="5" width="25.140625" style="1" bestFit="1" customWidth="1"/>
    <col min="6" max="6" width="9.85546875" style="1" customWidth="1"/>
    <col min="7" max="7" width="11.42578125" style="1" bestFit="1"/>
    <col min="8" max="8" width="11.140625" style="1" bestFit="1" customWidth="1"/>
    <col min="9" max="9" width="8" style="1" bestFit="1" customWidth="1"/>
    <col min="10" max="10" width="14.85546875" style="1" bestFit="1" customWidth="1"/>
    <col min="11" max="11" width="9.7109375" style="11" bestFit="1" customWidth="1"/>
    <col min="12" max="12" width="10.5703125" style="11" bestFit="1" customWidth="1"/>
    <col min="13" max="13" width="16" style="11" bestFit="1" customWidth="1"/>
    <col min="14" max="14" width="13.5703125" style="11" bestFit="1" customWidth="1"/>
    <col min="15" max="15" width="16" style="11" bestFit="1" customWidth="1"/>
    <col min="16" max="16" width="10.7109375" style="11" bestFit="1" customWidth="1"/>
    <col min="17" max="17" width="14.7109375" style="11" bestFit="1" customWidth="1"/>
    <col min="18" max="18" width="16" style="1" bestFit="1" customWidth="1"/>
    <col min="19" max="19" width="14.85546875" style="1" bestFit="1" customWidth="1"/>
    <col min="20" max="20" width="16" style="1" bestFit="1" customWidth="1"/>
    <col min="21" max="21" width="44.42578125" style="11" bestFit="1" customWidth="1"/>
    <col min="22" max="22" width="15.85546875" style="1" bestFit="1" customWidth="1"/>
    <col min="23" max="23" width="12.140625" style="1" bestFit="1" customWidth="1"/>
    <col min="24" max="25" width="11.42578125" style="1"/>
    <col min="26" max="26" width="16" style="1" customWidth="1"/>
    <col min="27" max="27" width="16.7109375" style="1" customWidth="1"/>
    <col min="28" max="16384" width="11.42578125" style="1"/>
  </cols>
  <sheetData>
    <row r="2" spans="2:22" ht="15.75" thickBot="1" x14ac:dyDescent="0.3">
      <c r="C2" s="2"/>
      <c r="D2" s="45"/>
      <c r="E2" s="2"/>
      <c r="F2" s="3" t="s">
        <v>0</v>
      </c>
      <c r="G2" s="4">
        <f>SUM(G4:G495)</f>
        <v>5893</v>
      </c>
      <c r="H2" s="5">
        <f>SUM(H4:H495)</f>
        <v>5893</v>
      </c>
      <c r="I2" s="6">
        <f>SUM(I4:I495)</f>
        <v>0</v>
      </c>
      <c r="J2" s="7">
        <f>SUM(J4:J495)</f>
        <v>0</v>
      </c>
      <c r="K2" s="8">
        <f>R2/H2</f>
        <v>163.6227551332089</v>
      </c>
      <c r="L2" s="8">
        <f>O2/(G2*17)</f>
        <v>10.55028957586768</v>
      </c>
      <c r="M2" s="8">
        <f>SUM(M4:M495)</f>
        <v>1061338.5599999998</v>
      </c>
      <c r="N2" s="8">
        <f>SUM(N4:N495)</f>
        <v>4400</v>
      </c>
      <c r="O2" s="8">
        <f>SUM(O4:O495)</f>
        <v>1056938.56</v>
      </c>
      <c r="P2" s="9">
        <f>Q2/O2</f>
        <v>8.7715282144687781E-2</v>
      </c>
      <c r="Q2" s="8">
        <f>SUM(Q4:Q495)</f>
        <v>92709.664000000019</v>
      </c>
      <c r="R2" s="10">
        <f>SUM(R4:R495)</f>
        <v>964228.89600000007</v>
      </c>
      <c r="S2" s="10">
        <f>SUM(S4:S495)</f>
        <v>0</v>
      </c>
      <c r="T2" s="10">
        <f>SUM(T4:T495)</f>
        <v>964228.89600000007</v>
      </c>
      <c r="V2" s="12"/>
    </row>
    <row r="3" spans="2:22" ht="15.75" thickBot="1" x14ac:dyDescent="0.3">
      <c r="B3" s="13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4" t="s">
        <v>6</v>
      </c>
      <c r="H3" s="14" t="s">
        <v>7</v>
      </c>
      <c r="I3" s="14" t="s">
        <v>8</v>
      </c>
      <c r="J3" s="14" t="s">
        <v>9</v>
      </c>
      <c r="K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6" t="s">
        <v>17</v>
      </c>
      <c r="S3" s="17" t="s">
        <v>18</v>
      </c>
      <c r="T3" s="17" t="s">
        <v>19</v>
      </c>
    </row>
    <row r="4" spans="2:22" x14ac:dyDescent="0.25">
      <c r="B4" s="18">
        <v>46128</v>
      </c>
      <c r="C4" s="19">
        <v>1</v>
      </c>
      <c r="D4" s="19" t="s">
        <v>20</v>
      </c>
      <c r="E4" s="19" t="s">
        <v>21</v>
      </c>
      <c r="F4" s="19" t="s">
        <v>22</v>
      </c>
      <c r="G4" s="20">
        <v>50</v>
      </c>
      <c r="H4" s="20">
        <v>50</v>
      </c>
      <c r="I4" s="44"/>
      <c r="J4" s="43">
        <f>G4-H4-I4</f>
        <v>0</v>
      </c>
      <c r="K4" s="21">
        <v>306</v>
      </c>
      <c r="L4" s="40">
        <f>O4/H4/17</f>
        <v>18</v>
      </c>
      <c r="M4" s="40">
        <f t="shared" ref="M4:M35" si="0">K4*H4</f>
        <v>15300</v>
      </c>
      <c r="N4" s="21">
        <v>0</v>
      </c>
      <c r="O4" s="40">
        <f t="shared" ref="O4:O35" si="1">IF(H4="",0,M4-N4)</f>
        <v>15300</v>
      </c>
      <c r="P4" s="22">
        <v>0.1</v>
      </c>
      <c r="Q4" s="40">
        <f>O4*P4</f>
        <v>1530</v>
      </c>
      <c r="R4" s="42">
        <f t="shared" ref="R4:R35" si="2">IF(J4=0,O4-Q4,0)</f>
        <v>13770</v>
      </c>
      <c r="S4" s="40">
        <f t="shared" ref="S4:S35" si="3">IF(J4=0,0,(J4*K4)-N4-(J4*K4-N4)*P4)</f>
        <v>0</v>
      </c>
      <c r="T4" s="23">
        <f t="shared" ref="T4:T62" si="4">R4+S4</f>
        <v>13770</v>
      </c>
    </row>
    <row r="5" spans="2:22" x14ac:dyDescent="0.25">
      <c r="B5" s="24">
        <v>46128</v>
      </c>
      <c r="C5" s="25">
        <v>2</v>
      </c>
      <c r="D5" s="25" t="s">
        <v>20</v>
      </c>
      <c r="E5" s="25" t="s">
        <v>21</v>
      </c>
      <c r="F5" s="25" t="s">
        <v>22</v>
      </c>
      <c r="G5" s="26">
        <v>10</v>
      </c>
      <c r="H5" s="20">
        <v>10</v>
      </c>
      <c r="I5" s="44"/>
      <c r="J5" s="43">
        <f t="shared" ref="J5:J63" si="5">G5-H5-I5</f>
        <v>0</v>
      </c>
      <c r="K5" s="27">
        <v>306</v>
      </c>
      <c r="L5" s="40">
        <f t="shared" ref="L5:L63" si="6">K5/17</f>
        <v>18</v>
      </c>
      <c r="M5" s="41">
        <f t="shared" si="0"/>
        <v>3060</v>
      </c>
      <c r="N5" s="27">
        <v>0</v>
      </c>
      <c r="O5" s="40">
        <f t="shared" si="1"/>
        <v>3060</v>
      </c>
      <c r="P5" s="22">
        <v>0.1</v>
      </c>
      <c r="Q5" s="40">
        <f t="shared" ref="Q5:Q63" si="7">O5*P5</f>
        <v>306</v>
      </c>
      <c r="R5" s="42">
        <f t="shared" si="2"/>
        <v>2754</v>
      </c>
      <c r="S5" s="40">
        <f t="shared" si="3"/>
        <v>0</v>
      </c>
      <c r="T5" s="23">
        <f t="shared" si="4"/>
        <v>2754</v>
      </c>
    </row>
    <row r="6" spans="2:22" x14ac:dyDescent="0.25">
      <c r="B6" s="24">
        <v>46128</v>
      </c>
      <c r="C6" s="25">
        <v>3</v>
      </c>
      <c r="D6" s="25" t="s">
        <v>20</v>
      </c>
      <c r="E6" s="25" t="s">
        <v>23</v>
      </c>
      <c r="F6" s="25" t="s">
        <v>22</v>
      </c>
      <c r="G6" s="26">
        <v>20</v>
      </c>
      <c r="H6" s="20">
        <v>20</v>
      </c>
      <c r="I6" s="44"/>
      <c r="J6" s="43">
        <f t="shared" si="5"/>
        <v>0</v>
      </c>
      <c r="K6" s="27">
        <v>306</v>
      </c>
      <c r="L6" s="40">
        <f t="shared" si="6"/>
        <v>18</v>
      </c>
      <c r="M6" s="41">
        <f t="shared" si="0"/>
        <v>6120</v>
      </c>
      <c r="N6" s="27">
        <v>0</v>
      </c>
      <c r="O6" s="40">
        <f t="shared" si="1"/>
        <v>6120</v>
      </c>
      <c r="P6" s="22">
        <v>0.1</v>
      </c>
      <c r="Q6" s="40">
        <f t="shared" si="7"/>
        <v>612</v>
      </c>
      <c r="R6" s="42">
        <f t="shared" si="2"/>
        <v>5508</v>
      </c>
      <c r="S6" s="40">
        <f t="shared" si="3"/>
        <v>0</v>
      </c>
      <c r="T6" s="23">
        <f t="shared" si="4"/>
        <v>5508</v>
      </c>
    </row>
    <row r="7" spans="2:22" x14ac:dyDescent="0.25">
      <c r="B7" s="24">
        <v>46128</v>
      </c>
      <c r="C7" s="25">
        <v>4</v>
      </c>
      <c r="D7" s="25" t="s">
        <v>20</v>
      </c>
      <c r="E7" s="25" t="s">
        <v>24</v>
      </c>
      <c r="F7" s="25" t="s">
        <v>22</v>
      </c>
      <c r="G7" s="26">
        <v>48</v>
      </c>
      <c r="H7" s="20">
        <v>48</v>
      </c>
      <c r="I7" s="44"/>
      <c r="J7" s="43">
        <f t="shared" si="5"/>
        <v>0</v>
      </c>
      <c r="K7" s="27">
        <f>15*17</f>
        <v>255</v>
      </c>
      <c r="L7" s="40">
        <f t="shared" si="6"/>
        <v>15</v>
      </c>
      <c r="M7" s="41">
        <f t="shared" si="0"/>
        <v>12240</v>
      </c>
      <c r="N7" s="27">
        <v>0</v>
      </c>
      <c r="O7" s="40">
        <f t="shared" si="1"/>
        <v>12240</v>
      </c>
      <c r="P7" s="22">
        <v>0.1</v>
      </c>
      <c r="Q7" s="40">
        <f t="shared" si="7"/>
        <v>1224</v>
      </c>
      <c r="R7" s="42">
        <f t="shared" si="2"/>
        <v>11016</v>
      </c>
      <c r="S7" s="40">
        <f t="shared" si="3"/>
        <v>0</v>
      </c>
      <c r="T7" s="23">
        <f t="shared" si="4"/>
        <v>11016</v>
      </c>
    </row>
    <row r="8" spans="2:22" x14ac:dyDescent="0.25">
      <c r="B8" s="24">
        <v>46128</v>
      </c>
      <c r="C8" s="25">
        <v>5</v>
      </c>
      <c r="D8" s="25" t="s">
        <v>20</v>
      </c>
      <c r="E8" s="25" t="s">
        <v>25</v>
      </c>
      <c r="F8" s="25" t="s">
        <v>22</v>
      </c>
      <c r="G8" s="26">
        <f>8*48</f>
        <v>384</v>
      </c>
      <c r="H8" s="20">
        <v>384</v>
      </c>
      <c r="I8" s="44"/>
      <c r="J8" s="43">
        <f t="shared" si="5"/>
        <v>0</v>
      </c>
      <c r="K8" s="27">
        <f>17*17</f>
        <v>289</v>
      </c>
      <c r="L8" s="40">
        <f t="shared" si="6"/>
        <v>17</v>
      </c>
      <c r="M8" s="41">
        <f t="shared" si="0"/>
        <v>110976</v>
      </c>
      <c r="N8" s="27">
        <v>0</v>
      </c>
      <c r="O8" s="40">
        <f t="shared" si="1"/>
        <v>110976</v>
      </c>
      <c r="P8" s="22">
        <v>0.1</v>
      </c>
      <c r="Q8" s="40">
        <f t="shared" si="7"/>
        <v>11097.6</v>
      </c>
      <c r="R8" s="42">
        <f t="shared" si="2"/>
        <v>99878.399999999994</v>
      </c>
      <c r="S8" s="40">
        <f t="shared" si="3"/>
        <v>0</v>
      </c>
      <c r="T8" s="23">
        <f t="shared" si="4"/>
        <v>99878.399999999994</v>
      </c>
    </row>
    <row r="9" spans="2:22" x14ac:dyDescent="0.25">
      <c r="B9" s="24">
        <v>46129</v>
      </c>
      <c r="C9" s="25">
        <v>7</v>
      </c>
      <c r="D9" s="25" t="s">
        <v>20</v>
      </c>
      <c r="E9" s="25" t="s">
        <v>23</v>
      </c>
      <c r="F9" s="25" t="s">
        <v>22</v>
      </c>
      <c r="G9" s="26">
        <v>50</v>
      </c>
      <c r="H9" s="20">
        <v>50</v>
      </c>
      <c r="I9" s="44"/>
      <c r="J9" s="43">
        <f t="shared" si="5"/>
        <v>0</v>
      </c>
      <c r="K9" s="27">
        <f>18*17</f>
        <v>306</v>
      </c>
      <c r="L9" s="40">
        <f t="shared" si="6"/>
        <v>18</v>
      </c>
      <c r="M9" s="41">
        <f t="shared" si="0"/>
        <v>15300</v>
      </c>
      <c r="N9" s="27">
        <v>0</v>
      </c>
      <c r="O9" s="40">
        <f t="shared" si="1"/>
        <v>15300</v>
      </c>
      <c r="P9" s="22">
        <v>0.1</v>
      </c>
      <c r="Q9" s="40">
        <f t="shared" si="7"/>
        <v>1530</v>
      </c>
      <c r="R9" s="42">
        <f t="shared" si="2"/>
        <v>13770</v>
      </c>
      <c r="S9" s="40">
        <f t="shared" si="3"/>
        <v>0</v>
      </c>
      <c r="T9" s="23">
        <f t="shared" si="4"/>
        <v>13770</v>
      </c>
    </row>
    <row r="10" spans="2:22" x14ac:dyDescent="0.25">
      <c r="B10" s="24">
        <v>46129</v>
      </c>
      <c r="C10" s="25">
        <v>9</v>
      </c>
      <c r="D10" s="25" t="s">
        <v>20</v>
      </c>
      <c r="E10" s="25" t="s">
        <v>26</v>
      </c>
      <c r="F10" s="25" t="s">
        <v>22</v>
      </c>
      <c r="G10" s="26">
        <f>6*48</f>
        <v>288</v>
      </c>
      <c r="H10" s="20">
        <v>288</v>
      </c>
      <c r="I10" s="44"/>
      <c r="J10" s="43">
        <f t="shared" si="5"/>
        <v>0</v>
      </c>
      <c r="K10" s="27">
        <f>13*17</f>
        <v>221</v>
      </c>
      <c r="L10" s="40">
        <f t="shared" si="6"/>
        <v>13</v>
      </c>
      <c r="M10" s="41">
        <f t="shared" si="0"/>
        <v>63648</v>
      </c>
      <c r="N10" s="27">
        <v>0</v>
      </c>
      <c r="O10" s="40">
        <f t="shared" si="1"/>
        <v>63648</v>
      </c>
      <c r="P10" s="22">
        <v>0.1</v>
      </c>
      <c r="Q10" s="40">
        <f t="shared" si="7"/>
        <v>6364.8</v>
      </c>
      <c r="R10" s="42">
        <f t="shared" si="2"/>
        <v>57283.199999999997</v>
      </c>
      <c r="S10" s="40">
        <f t="shared" si="3"/>
        <v>0</v>
      </c>
      <c r="T10" s="23">
        <f t="shared" si="4"/>
        <v>57283.199999999997</v>
      </c>
    </row>
    <row r="11" spans="2:22" x14ac:dyDescent="0.25">
      <c r="B11" s="24">
        <v>46129</v>
      </c>
      <c r="C11" s="25">
        <v>10</v>
      </c>
      <c r="D11" s="25" t="s">
        <v>20</v>
      </c>
      <c r="E11" s="25" t="s">
        <v>27</v>
      </c>
      <c r="F11" s="25" t="s">
        <v>22</v>
      </c>
      <c r="G11" s="26">
        <v>96</v>
      </c>
      <c r="H11" s="20">
        <v>96</v>
      </c>
      <c r="I11" s="44"/>
      <c r="J11" s="43">
        <f t="shared" si="5"/>
        <v>0</v>
      </c>
      <c r="K11" s="27">
        <f>13*17</f>
        <v>221</v>
      </c>
      <c r="L11" s="40">
        <f t="shared" si="6"/>
        <v>13</v>
      </c>
      <c r="M11" s="41">
        <f t="shared" si="0"/>
        <v>21216</v>
      </c>
      <c r="N11" s="27">
        <v>4400</v>
      </c>
      <c r="O11" s="40">
        <f t="shared" si="1"/>
        <v>16816</v>
      </c>
      <c r="P11" s="22">
        <v>0.1</v>
      </c>
      <c r="Q11" s="40">
        <f t="shared" si="7"/>
        <v>1681.6000000000001</v>
      </c>
      <c r="R11" s="42">
        <f t="shared" si="2"/>
        <v>15134.4</v>
      </c>
      <c r="S11" s="40">
        <f t="shared" si="3"/>
        <v>0</v>
      </c>
      <c r="T11" s="23">
        <f t="shared" si="4"/>
        <v>15134.4</v>
      </c>
    </row>
    <row r="12" spans="2:22" x14ac:dyDescent="0.25">
      <c r="B12" s="24">
        <v>46130</v>
      </c>
      <c r="C12" s="25">
        <v>11</v>
      </c>
      <c r="D12" s="25" t="s">
        <v>20</v>
      </c>
      <c r="E12" s="25" t="s">
        <v>21</v>
      </c>
      <c r="F12" s="25" t="s">
        <v>22</v>
      </c>
      <c r="G12" s="26">
        <f>147</f>
        <v>147</v>
      </c>
      <c r="H12" s="20">
        <v>147</v>
      </c>
      <c r="I12" s="44"/>
      <c r="J12" s="43">
        <f t="shared" si="5"/>
        <v>0</v>
      </c>
      <c r="K12" s="27">
        <f>14*17</f>
        <v>238</v>
      </c>
      <c r="L12" s="40">
        <f t="shared" si="6"/>
        <v>14</v>
      </c>
      <c r="M12" s="41">
        <f t="shared" si="0"/>
        <v>34986</v>
      </c>
      <c r="N12" s="27">
        <v>0</v>
      </c>
      <c r="O12" s="40">
        <f t="shared" si="1"/>
        <v>34986</v>
      </c>
      <c r="P12" s="22">
        <v>0.1</v>
      </c>
      <c r="Q12" s="40">
        <f t="shared" si="7"/>
        <v>3498.6000000000004</v>
      </c>
      <c r="R12" s="42">
        <f t="shared" si="2"/>
        <v>31487.4</v>
      </c>
      <c r="S12" s="40">
        <f t="shared" si="3"/>
        <v>0</v>
      </c>
      <c r="T12" s="23">
        <f t="shared" si="4"/>
        <v>31487.4</v>
      </c>
    </row>
    <row r="13" spans="2:22" x14ac:dyDescent="0.25">
      <c r="B13" s="24">
        <v>46130</v>
      </c>
      <c r="C13" s="25">
        <v>12</v>
      </c>
      <c r="D13" s="25" t="s">
        <v>20</v>
      </c>
      <c r="E13" s="25" t="s">
        <v>28</v>
      </c>
      <c r="F13" s="25" t="s">
        <v>22</v>
      </c>
      <c r="G13" s="26">
        <v>150</v>
      </c>
      <c r="H13" s="20">
        <v>150</v>
      </c>
      <c r="I13" s="44"/>
      <c r="J13" s="43">
        <f t="shared" si="5"/>
        <v>0</v>
      </c>
      <c r="K13" s="27">
        <f>17*17</f>
        <v>289</v>
      </c>
      <c r="L13" s="40">
        <f t="shared" si="6"/>
        <v>17</v>
      </c>
      <c r="M13" s="41">
        <f t="shared" si="0"/>
        <v>43350</v>
      </c>
      <c r="N13" s="27">
        <v>0</v>
      </c>
      <c r="O13" s="40">
        <f t="shared" si="1"/>
        <v>43350</v>
      </c>
      <c r="P13" s="22">
        <v>0.1</v>
      </c>
      <c r="Q13" s="40">
        <f t="shared" si="7"/>
        <v>4335</v>
      </c>
      <c r="R13" s="42">
        <f t="shared" si="2"/>
        <v>39015</v>
      </c>
      <c r="S13" s="40">
        <f t="shared" si="3"/>
        <v>0</v>
      </c>
      <c r="T13" s="23">
        <f t="shared" si="4"/>
        <v>39015</v>
      </c>
    </row>
    <row r="14" spans="2:22" x14ac:dyDescent="0.25">
      <c r="B14" s="24">
        <v>46132</v>
      </c>
      <c r="C14" s="25">
        <v>13</v>
      </c>
      <c r="D14" s="25" t="s">
        <v>20</v>
      </c>
      <c r="E14" s="25" t="s">
        <v>23</v>
      </c>
      <c r="F14" s="25" t="s">
        <v>22</v>
      </c>
      <c r="G14" s="26">
        <v>20</v>
      </c>
      <c r="H14" s="20">
        <v>20</v>
      </c>
      <c r="I14" s="19"/>
      <c r="J14" s="43">
        <f t="shared" si="5"/>
        <v>0</v>
      </c>
      <c r="K14" s="27">
        <f>15*17</f>
        <v>255</v>
      </c>
      <c r="L14" s="40">
        <f t="shared" si="6"/>
        <v>15</v>
      </c>
      <c r="M14" s="41">
        <f t="shared" si="0"/>
        <v>5100</v>
      </c>
      <c r="N14" s="27">
        <v>0</v>
      </c>
      <c r="O14" s="40">
        <f t="shared" si="1"/>
        <v>5100</v>
      </c>
      <c r="P14" s="22">
        <v>0.1</v>
      </c>
      <c r="Q14" s="40">
        <f t="shared" si="7"/>
        <v>510</v>
      </c>
      <c r="R14" s="42">
        <f t="shared" si="2"/>
        <v>4590</v>
      </c>
      <c r="S14" s="40">
        <f t="shared" si="3"/>
        <v>0</v>
      </c>
      <c r="T14" s="23">
        <f t="shared" si="4"/>
        <v>4590</v>
      </c>
      <c r="U14" s="37"/>
      <c r="V14" s="38"/>
    </row>
    <row r="15" spans="2:22" x14ac:dyDescent="0.25">
      <c r="B15" s="24">
        <v>46132</v>
      </c>
      <c r="C15" s="25">
        <v>14</v>
      </c>
      <c r="D15" s="25" t="s">
        <v>20</v>
      </c>
      <c r="E15" s="25" t="s">
        <v>29</v>
      </c>
      <c r="F15" s="25" t="s">
        <v>22</v>
      </c>
      <c r="G15" s="26">
        <v>150</v>
      </c>
      <c r="H15" s="20">
        <v>150</v>
      </c>
      <c r="I15" s="19"/>
      <c r="J15" s="43">
        <f t="shared" si="5"/>
        <v>0</v>
      </c>
      <c r="K15" s="27">
        <v>255</v>
      </c>
      <c r="L15" s="40">
        <f t="shared" si="6"/>
        <v>15</v>
      </c>
      <c r="M15" s="41">
        <f t="shared" si="0"/>
        <v>38250</v>
      </c>
      <c r="N15" s="27">
        <v>0</v>
      </c>
      <c r="O15" s="40">
        <f t="shared" si="1"/>
        <v>38250</v>
      </c>
      <c r="P15" s="22">
        <v>0.1</v>
      </c>
      <c r="Q15" s="40">
        <f t="shared" si="7"/>
        <v>3825</v>
      </c>
      <c r="R15" s="42">
        <f t="shared" si="2"/>
        <v>34425</v>
      </c>
      <c r="S15" s="40">
        <f t="shared" si="3"/>
        <v>0</v>
      </c>
      <c r="T15" s="23">
        <f t="shared" si="4"/>
        <v>34425</v>
      </c>
      <c r="U15" s="37"/>
      <c r="V15" s="39"/>
    </row>
    <row r="16" spans="2:22" x14ac:dyDescent="0.25">
      <c r="B16" s="24">
        <v>46133</v>
      </c>
      <c r="C16" s="25">
        <v>16</v>
      </c>
      <c r="D16" s="25" t="s">
        <v>20</v>
      </c>
      <c r="E16" s="25" t="s">
        <v>28</v>
      </c>
      <c r="F16" s="25" t="s">
        <v>22</v>
      </c>
      <c r="G16" s="26">
        <v>200</v>
      </c>
      <c r="H16" s="20">
        <v>200</v>
      </c>
      <c r="I16" s="19"/>
      <c r="J16" s="43">
        <f t="shared" si="5"/>
        <v>0</v>
      </c>
      <c r="K16" s="27">
        <f>16*17</f>
        <v>272</v>
      </c>
      <c r="L16" s="40">
        <f t="shared" si="6"/>
        <v>16</v>
      </c>
      <c r="M16" s="41">
        <f t="shared" si="0"/>
        <v>54400</v>
      </c>
      <c r="N16" s="27">
        <v>0</v>
      </c>
      <c r="O16" s="40">
        <f t="shared" si="1"/>
        <v>54400</v>
      </c>
      <c r="P16" s="22">
        <v>0.1</v>
      </c>
      <c r="Q16" s="40">
        <f t="shared" si="7"/>
        <v>5440</v>
      </c>
      <c r="R16" s="42">
        <f t="shared" si="2"/>
        <v>48960</v>
      </c>
      <c r="S16" s="40">
        <f t="shared" si="3"/>
        <v>0</v>
      </c>
      <c r="T16" s="23">
        <f t="shared" si="4"/>
        <v>48960</v>
      </c>
    </row>
    <row r="17" spans="2:21" x14ac:dyDescent="0.25">
      <c r="B17" s="118">
        <v>46133</v>
      </c>
      <c r="C17" s="119">
        <v>16</v>
      </c>
      <c r="D17" s="119" t="s">
        <v>20</v>
      </c>
      <c r="E17" s="119" t="s">
        <v>28</v>
      </c>
      <c r="F17" s="119" t="s">
        <v>22</v>
      </c>
      <c r="G17" s="120">
        <v>3</v>
      </c>
      <c r="H17" s="121">
        <v>3</v>
      </c>
      <c r="I17" s="122"/>
      <c r="J17" s="121">
        <f t="shared" si="5"/>
        <v>0</v>
      </c>
      <c r="K17" s="123">
        <v>0</v>
      </c>
      <c r="L17" s="124">
        <f t="shared" si="6"/>
        <v>0</v>
      </c>
      <c r="M17" s="123">
        <f t="shared" si="0"/>
        <v>0</v>
      </c>
      <c r="N17" s="123"/>
      <c r="O17" s="124">
        <f t="shared" si="1"/>
        <v>0</v>
      </c>
      <c r="P17" s="125"/>
      <c r="Q17" s="124">
        <f t="shared" si="7"/>
        <v>0</v>
      </c>
      <c r="R17" s="126">
        <f t="shared" si="2"/>
        <v>0</v>
      </c>
      <c r="S17" s="124">
        <f t="shared" si="3"/>
        <v>0</v>
      </c>
      <c r="T17" s="126">
        <f t="shared" si="4"/>
        <v>0</v>
      </c>
      <c r="U17" s="127" t="s">
        <v>30</v>
      </c>
    </row>
    <row r="18" spans="2:21" x14ac:dyDescent="0.25">
      <c r="B18" s="24">
        <v>46134</v>
      </c>
      <c r="C18" s="25">
        <v>17</v>
      </c>
      <c r="D18" s="25" t="s">
        <v>20</v>
      </c>
      <c r="E18" s="25" t="s">
        <v>31</v>
      </c>
      <c r="F18" s="25" t="s">
        <v>22</v>
      </c>
      <c r="G18" s="28">
        <v>48</v>
      </c>
      <c r="H18" s="29">
        <v>48</v>
      </c>
      <c r="I18" s="19"/>
      <c r="J18" s="43">
        <f t="shared" si="5"/>
        <v>0</v>
      </c>
      <c r="K18" s="27">
        <v>255</v>
      </c>
      <c r="L18" s="40">
        <f t="shared" si="6"/>
        <v>15</v>
      </c>
      <c r="M18" s="41">
        <f t="shared" si="0"/>
        <v>12240</v>
      </c>
      <c r="N18" s="27">
        <v>0</v>
      </c>
      <c r="O18" s="40">
        <f t="shared" si="1"/>
        <v>12240</v>
      </c>
      <c r="P18" s="30">
        <v>0.1</v>
      </c>
      <c r="Q18" s="40">
        <f t="shared" si="7"/>
        <v>1224</v>
      </c>
      <c r="R18" s="42">
        <f t="shared" si="2"/>
        <v>11016</v>
      </c>
      <c r="S18" s="40">
        <f t="shared" si="3"/>
        <v>0</v>
      </c>
      <c r="T18" s="23">
        <f t="shared" si="4"/>
        <v>11016</v>
      </c>
    </row>
    <row r="19" spans="2:21" x14ac:dyDescent="0.25">
      <c r="B19" s="24">
        <v>46134</v>
      </c>
      <c r="C19" s="25">
        <v>18</v>
      </c>
      <c r="D19" s="25" t="s">
        <v>20</v>
      </c>
      <c r="E19" s="25" t="s">
        <v>26</v>
      </c>
      <c r="F19" s="25" t="s">
        <v>22</v>
      </c>
      <c r="G19" s="28">
        <v>624</v>
      </c>
      <c r="H19" s="29">
        <v>624</v>
      </c>
      <c r="I19" s="19"/>
      <c r="J19" s="43">
        <f t="shared" si="5"/>
        <v>0</v>
      </c>
      <c r="K19" s="27">
        <v>136</v>
      </c>
      <c r="L19" s="40">
        <f t="shared" si="6"/>
        <v>8</v>
      </c>
      <c r="M19" s="41">
        <f t="shared" si="0"/>
        <v>84864</v>
      </c>
      <c r="N19" s="27">
        <v>0</v>
      </c>
      <c r="O19" s="40">
        <f t="shared" si="1"/>
        <v>84864</v>
      </c>
      <c r="P19" s="30">
        <v>0.1</v>
      </c>
      <c r="Q19" s="40">
        <f t="shared" si="7"/>
        <v>8486.4</v>
      </c>
      <c r="R19" s="42">
        <f t="shared" si="2"/>
        <v>76377.600000000006</v>
      </c>
      <c r="S19" s="40">
        <f t="shared" si="3"/>
        <v>0</v>
      </c>
      <c r="T19" s="23">
        <f t="shared" si="4"/>
        <v>76377.600000000006</v>
      </c>
    </row>
    <row r="20" spans="2:21" x14ac:dyDescent="0.25">
      <c r="B20" s="24">
        <v>46136</v>
      </c>
      <c r="C20" s="25">
        <v>20</v>
      </c>
      <c r="D20" s="25" t="s">
        <v>20</v>
      </c>
      <c r="E20" s="25" t="s">
        <v>21</v>
      </c>
      <c r="F20" s="25" t="s">
        <v>22</v>
      </c>
      <c r="G20" s="28">
        <v>30</v>
      </c>
      <c r="H20" s="29">
        <v>30</v>
      </c>
      <c r="I20" s="19"/>
      <c r="J20" s="43">
        <f t="shared" si="5"/>
        <v>0</v>
      </c>
      <c r="K20" s="27">
        <f>12*17</f>
        <v>204</v>
      </c>
      <c r="L20" s="40">
        <f t="shared" si="6"/>
        <v>12</v>
      </c>
      <c r="M20" s="41">
        <f t="shared" si="0"/>
        <v>6120</v>
      </c>
      <c r="N20" s="27">
        <v>0</v>
      </c>
      <c r="O20" s="40">
        <f t="shared" si="1"/>
        <v>6120</v>
      </c>
      <c r="P20" s="30">
        <v>0.1</v>
      </c>
      <c r="Q20" s="40">
        <f t="shared" si="7"/>
        <v>612</v>
      </c>
      <c r="R20" s="42">
        <f t="shared" si="2"/>
        <v>5508</v>
      </c>
      <c r="S20" s="40">
        <f t="shared" si="3"/>
        <v>0</v>
      </c>
      <c r="T20" s="23">
        <f t="shared" si="4"/>
        <v>5508</v>
      </c>
    </row>
    <row r="21" spans="2:21" x14ac:dyDescent="0.25">
      <c r="B21" s="24">
        <v>46046</v>
      </c>
      <c r="C21" s="25">
        <v>21</v>
      </c>
      <c r="D21" s="25" t="s">
        <v>20</v>
      </c>
      <c r="E21" s="25" t="s">
        <v>26</v>
      </c>
      <c r="F21" s="25" t="s">
        <v>22</v>
      </c>
      <c r="G21" s="28">
        <v>1209</v>
      </c>
      <c r="H21" s="29">
        <v>1209</v>
      </c>
      <c r="I21" s="19"/>
      <c r="J21" s="43">
        <f t="shared" si="5"/>
        <v>0</v>
      </c>
      <c r="K21" s="27">
        <f>10*17</f>
        <v>170</v>
      </c>
      <c r="L21" s="40">
        <f t="shared" si="6"/>
        <v>10</v>
      </c>
      <c r="M21" s="41">
        <f t="shared" si="0"/>
        <v>205530</v>
      </c>
      <c r="N21" s="27">
        <v>0</v>
      </c>
      <c r="O21" s="40">
        <f t="shared" si="1"/>
        <v>205530</v>
      </c>
      <c r="P21" s="30">
        <v>0.1</v>
      </c>
      <c r="Q21" s="40">
        <f t="shared" si="7"/>
        <v>20553</v>
      </c>
      <c r="R21" s="42">
        <f t="shared" si="2"/>
        <v>184977</v>
      </c>
      <c r="S21" s="40">
        <f t="shared" si="3"/>
        <v>0</v>
      </c>
      <c r="T21" s="23">
        <f t="shared" si="4"/>
        <v>184977</v>
      </c>
    </row>
    <row r="22" spans="2:21" x14ac:dyDescent="0.25">
      <c r="B22" s="24">
        <v>46137</v>
      </c>
      <c r="C22" s="25">
        <v>23</v>
      </c>
      <c r="D22" s="25" t="s">
        <v>20</v>
      </c>
      <c r="E22" s="25" t="s">
        <v>21</v>
      </c>
      <c r="F22" s="25" t="s">
        <v>22</v>
      </c>
      <c r="G22" s="28">
        <v>30</v>
      </c>
      <c r="H22" s="29">
        <v>30</v>
      </c>
      <c r="I22" s="19"/>
      <c r="J22" s="43">
        <f t="shared" si="5"/>
        <v>0</v>
      </c>
      <c r="K22" s="31">
        <f>12*17</f>
        <v>204</v>
      </c>
      <c r="L22" s="40">
        <f t="shared" si="6"/>
        <v>12</v>
      </c>
      <c r="M22" s="41">
        <f t="shared" si="0"/>
        <v>6120</v>
      </c>
      <c r="N22" s="27">
        <v>0</v>
      </c>
      <c r="O22" s="40">
        <f t="shared" si="1"/>
        <v>6120</v>
      </c>
      <c r="P22" s="32">
        <v>0.1</v>
      </c>
      <c r="Q22" s="40">
        <f t="shared" si="7"/>
        <v>612</v>
      </c>
      <c r="R22" s="42">
        <f t="shared" si="2"/>
        <v>5508</v>
      </c>
      <c r="S22" s="40">
        <f t="shared" si="3"/>
        <v>0</v>
      </c>
      <c r="T22" s="23">
        <f t="shared" si="4"/>
        <v>5508</v>
      </c>
    </row>
    <row r="23" spans="2:21" x14ac:dyDescent="0.25">
      <c r="B23" s="24">
        <v>46142</v>
      </c>
      <c r="C23" s="25">
        <v>27</v>
      </c>
      <c r="D23" s="25" t="s">
        <v>20</v>
      </c>
      <c r="E23" s="25" t="s">
        <v>32</v>
      </c>
      <c r="F23" s="25" t="s">
        <v>22</v>
      </c>
      <c r="G23" s="28">
        <v>21</v>
      </c>
      <c r="H23" s="29">
        <v>21</v>
      </c>
      <c r="I23" s="19"/>
      <c r="J23" s="43">
        <f t="shared" si="5"/>
        <v>0</v>
      </c>
      <c r="K23" s="31">
        <f>12*17</f>
        <v>204</v>
      </c>
      <c r="L23" s="40">
        <f t="shared" si="6"/>
        <v>12</v>
      </c>
      <c r="M23" s="41">
        <f t="shared" si="0"/>
        <v>4284</v>
      </c>
      <c r="N23" s="27">
        <v>0</v>
      </c>
      <c r="O23" s="40">
        <f t="shared" si="1"/>
        <v>4284</v>
      </c>
      <c r="P23" s="32">
        <v>0.1</v>
      </c>
      <c r="Q23" s="40">
        <f t="shared" si="7"/>
        <v>428.40000000000003</v>
      </c>
      <c r="R23" s="42">
        <f t="shared" si="2"/>
        <v>3855.6</v>
      </c>
      <c r="S23" s="40">
        <f t="shared" si="3"/>
        <v>0</v>
      </c>
      <c r="T23" s="23">
        <f t="shared" si="4"/>
        <v>3855.6</v>
      </c>
    </row>
    <row r="24" spans="2:21" x14ac:dyDescent="0.25">
      <c r="B24" s="24">
        <v>46142</v>
      </c>
      <c r="C24" s="25">
        <v>28</v>
      </c>
      <c r="D24" s="25" t="s">
        <v>20</v>
      </c>
      <c r="E24" s="25" t="s">
        <v>25</v>
      </c>
      <c r="F24" s="25" t="s">
        <v>22</v>
      </c>
      <c r="G24" s="28">
        <f>48*8</f>
        <v>384</v>
      </c>
      <c r="H24" s="29">
        <v>384</v>
      </c>
      <c r="I24" s="19"/>
      <c r="J24" s="43">
        <f t="shared" si="5"/>
        <v>0</v>
      </c>
      <c r="K24" s="31">
        <v>204</v>
      </c>
      <c r="L24" s="40">
        <f t="shared" si="6"/>
        <v>12</v>
      </c>
      <c r="M24" s="41">
        <f t="shared" si="0"/>
        <v>78336</v>
      </c>
      <c r="N24" s="27">
        <v>0</v>
      </c>
      <c r="O24" s="40">
        <f t="shared" si="1"/>
        <v>78336</v>
      </c>
      <c r="P24" s="32">
        <v>0.1</v>
      </c>
      <c r="Q24" s="40">
        <f t="shared" si="7"/>
        <v>7833.6</v>
      </c>
      <c r="R24" s="42">
        <f t="shared" si="2"/>
        <v>70502.399999999994</v>
      </c>
      <c r="S24" s="40">
        <f t="shared" si="3"/>
        <v>0</v>
      </c>
      <c r="T24" s="23">
        <f t="shared" si="4"/>
        <v>70502.399999999994</v>
      </c>
    </row>
    <row r="25" spans="2:21" x14ac:dyDescent="0.25">
      <c r="B25" s="24">
        <v>46143</v>
      </c>
      <c r="C25" s="25">
        <v>29</v>
      </c>
      <c r="D25" s="25" t="s">
        <v>20</v>
      </c>
      <c r="E25" s="25" t="s">
        <v>29</v>
      </c>
      <c r="F25" s="25" t="s">
        <v>22</v>
      </c>
      <c r="G25" s="28">
        <v>80</v>
      </c>
      <c r="H25" s="29">
        <v>80</v>
      </c>
      <c r="I25" s="19"/>
      <c r="J25" s="43">
        <f t="shared" si="5"/>
        <v>0</v>
      </c>
      <c r="K25" s="31">
        <f>13*17</f>
        <v>221</v>
      </c>
      <c r="L25" s="40">
        <f t="shared" si="6"/>
        <v>13</v>
      </c>
      <c r="M25" s="41">
        <f t="shared" si="0"/>
        <v>17680</v>
      </c>
      <c r="N25" s="27">
        <v>0</v>
      </c>
      <c r="O25" s="40">
        <f t="shared" si="1"/>
        <v>17680</v>
      </c>
      <c r="P25" s="32">
        <v>0.1</v>
      </c>
      <c r="Q25" s="40">
        <f t="shared" si="7"/>
        <v>1768</v>
      </c>
      <c r="R25" s="42">
        <f t="shared" si="2"/>
        <v>15912</v>
      </c>
      <c r="S25" s="40">
        <f t="shared" si="3"/>
        <v>0</v>
      </c>
      <c r="T25" s="23">
        <f t="shared" si="4"/>
        <v>15912</v>
      </c>
    </row>
    <row r="26" spans="2:21" x14ac:dyDescent="0.25">
      <c r="B26" s="118">
        <v>46146</v>
      </c>
      <c r="C26" s="119">
        <v>32</v>
      </c>
      <c r="D26" s="119" t="s">
        <v>20</v>
      </c>
      <c r="E26" s="119" t="s">
        <v>26</v>
      </c>
      <c r="F26" s="119" t="s">
        <v>22</v>
      </c>
      <c r="G26" s="120">
        <v>1248</v>
      </c>
      <c r="H26" s="121">
        <v>1248</v>
      </c>
      <c r="I26" s="122"/>
      <c r="J26" s="121">
        <f t="shared" si="5"/>
        <v>0</v>
      </c>
      <c r="K26" s="123">
        <f>6.12*17</f>
        <v>104.04</v>
      </c>
      <c r="L26" s="124">
        <f t="shared" si="6"/>
        <v>6.12</v>
      </c>
      <c r="M26" s="123">
        <f t="shared" si="0"/>
        <v>129841.92000000001</v>
      </c>
      <c r="N26" s="123">
        <v>0</v>
      </c>
      <c r="O26" s="124">
        <f t="shared" si="1"/>
        <v>129841.92000000001</v>
      </c>
      <c r="P26" s="175">
        <v>0</v>
      </c>
      <c r="Q26" s="124">
        <f t="shared" si="7"/>
        <v>0</v>
      </c>
      <c r="R26" s="126">
        <f t="shared" si="2"/>
        <v>129841.92000000001</v>
      </c>
      <c r="S26" s="124">
        <f t="shared" si="3"/>
        <v>0</v>
      </c>
      <c r="T26" s="126">
        <f t="shared" si="4"/>
        <v>129841.92000000001</v>
      </c>
      <c r="U26" s="127" t="s">
        <v>102</v>
      </c>
    </row>
    <row r="27" spans="2:21" x14ac:dyDescent="0.25">
      <c r="B27" s="24">
        <v>46147</v>
      </c>
      <c r="C27" s="25">
        <v>34</v>
      </c>
      <c r="D27" s="25" t="s">
        <v>20</v>
      </c>
      <c r="E27" s="25" t="s">
        <v>25</v>
      </c>
      <c r="F27" s="25" t="s">
        <v>22</v>
      </c>
      <c r="G27" s="28">
        <v>319</v>
      </c>
      <c r="H27" s="29">
        <v>319</v>
      </c>
      <c r="I27" s="19"/>
      <c r="J27" s="43">
        <f t="shared" si="5"/>
        <v>0</v>
      </c>
      <c r="K27" s="31">
        <f>17*11</f>
        <v>187</v>
      </c>
      <c r="L27" s="40">
        <f t="shared" si="6"/>
        <v>11</v>
      </c>
      <c r="M27" s="41">
        <f t="shared" si="0"/>
        <v>59653</v>
      </c>
      <c r="N27" s="27">
        <v>0</v>
      </c>
      <c r="O27" s="40">
        <f t="shared" si="1"/>
        <v>59653</v>
      </c>
      <c r="P27" s="32">
        <v>0.1</v>
      </c>
      <c r="Q27" s="40">
        <f t="shared" si="7"/>
        <v>5965.3</v>
      </c>
      <c r="R27" s="42">
        <f t="shared" si="2"/>
        <v>53687.7</v>
      </c>
      <c r="S27" s="40">
        <f t="shared" si="3"/>
        <v>0</v>
      </c>
      <c r="T27" s="23">
        <f t="shared" si="4"/>
        <v>53687.7</v>
      </c>
    </row>
    <row r="28" spans="2:21" x14ac:dyDescent="0.25">
      <c r="B28" s="24">
        <v>46149</v>
      </c>
      <c r="C28" s="25">
        <v>35</v>
      </c>
      <c r="D28" s="25" t="s">
        <v>20</v>
      </c>
      <c r="E28" s="33" t="s">
        <v>23</v>
      </c>
      <c r="F28" s="25" t="s">
        <v>22</v>
      </c>
      <c r="G28" s="28">
        <v>1</v>
      </c>
      <c r="H28" s="29">
        <v>1</v>
      </c>
      <c r="I28" s="19"/>
      <c r="J28" s="43">
        <f t="shared" si="5"/>
        <v>0</v>
      </c>
      <c r="K28" s="27">
        <f>17*8</f>
        <v>136</v>
      </c>
      <c r="L28" s="40">
        <f t="shared" si="6"/>
        <v>8</v>
      </c>
      <c r="M28" s="41">
        <f t="shared" si="0"/>
        <v>136</v>
      </c>
      <c r="N28" s="27">
        <v>0</v>
      </c>
      <c r="O28" s="40">
        <f t="shared" si="1"/>
        <v>136</v>
      </c>
      <c r="P28" s="32">
        <v>0.1</v>
      </c>
      <c r="Q28" s="40">
        <f t="shared" si="7"/>
        <v>13.600000000000001</v>
      </c>
      <c r="R28" s="42">
        <f t="shared" si="2"/>
        <v>122.4</v>
      </c>
      <c r="S28" s="40">
        <f t="shared" si="3"/>
        <v>0</v>
      </c>
      <c r="T28" s="23">
        <f t="shared" si="4"/>
        <v>122.4</v>
      </c>
    </row>
    <row r="29" spans="2:21" x14ac:dyDescent="0.25">
      <c r="B29" s="24">
        <v>46149</v>
      </c>
      <c r="C29" s="25">
        <v>36</v>
      </c>
      <c r="D29" s="25" t="s">
        <v>20</v>
      </c>
      <c r="E29" s="25" t="s">
        <v>23</v>
      </c>
      <c r="F29" s="25" t="s">
        <v>22</v>
      </c>
      <c r="G29" s="28">
        <v>59</v>
      </c>
      <c r="H29" s="29">
        <v>59</v>
      </c>
      <c r="I29" s="19"/>
      <c r="J29" s="43">
        <f t="shared" si="5"/>
        <v>0</v>
      </c>
      <c r="K29" s="27">
        <f>7*17</f>
        <v>119</v>
      </c>
      <c r="L29" s="40">
        <f t="shared" si="6"/>
        <v>7</v>
      </c>
      <c r="M29" s="41">
        <f t="shared" si="0"/>
        <v>7021</v>
      </c>
      <c r="N29" s="27">
        <v>0</v>
      </c>
      <c r="O29" s="40">
        <f t="shared" si="1"/>
        <v>7021</v>
      </c>
      <c r="P29" s="32">
        <v>0.1</v>
      </c>
      <c r="Q29" s="40">
        <f t="shared" si="7"/>
        <v>702.1</v>
      </c>
      <c r="R29" s="42">
        <f t="shared" si="2"/>
        <v>6318.9</v>
      </c>
      <c r="S29" s="40">
        <f t="shared" si="3"/>
        <v>0</v>
      </c>
      <c r="T29" s="23">
        <f t="shared" si="4"/>
        <v>6318.9</v>
      </c>
    </row>
    <row r="30" spans="2:21" x14ac:dyDescent="0.25">
      <c r="B30" s="24">
        <v>46150</v>
      </c>
      <c r="C30" s="25">
        <v>37</v>
      </c>
      <c r="D30" s="25" t="s">
        <v>20</v>
      </c>
      <c r="E30" s="25" t="s">
        <v>29</v>
      </c>
      <c r="F30" s="25" t="s">
        <v>22</v>
      </c>
      <c r="G30" s="28">
        <v>120</v>
      </c>
      <c r="H30" s="29">
        <v>120</v>
      </c>
      <c r="I30" s="19"/>
      <c r="J30" s="43">
        <f t="shared" si="5"/>
        <v>0</v>
      </c>
      <c r="K30" s="27">
        <v>136</v>
      </c>
      <c r="L30" s="40">
        <f t="shared" si="6"/>
        <v>8</v>
      </c>
      <c r="M30" s="41">
        <f t="shared" si="0"/>
        <v>16320</v>
      </c>
      <c r="N30" s="27">
        <v>0</v>
      </c>
      <c r="O30" s="40">
        <f t="shared" si="1"/>
        <v>16320</v>
      </c>
      <c r="P30" s="32">
        <v>0.1</v>
      </c>
      <c r="Q30" s="40">
        <f t="shared" si="7"/>
        <v>1632</v>
      </c>
      <c r="R30" s="42">
        <f t="shared" si="2"/>
        <v>14688</v>
      </c>
      <c r="S30" s="40">
        <f t="shared" si="3"/>
        <v>0</v>
      </c>
      <c r="T30" s="23">
        <f t="shared" si="4"/>
        <v>14688</v>
      </c>
    </row>
    <row r="31" spans="2:21" x14ac:dyDescent="0.25">
      <c r="B31" s="24">
        <v>46154</v>
      </c>
      <c r="C31" s="25">
        <v>46</v>
      </c>
      <c r="D31" s="25" t="s">
        <v>20</v>
      </c>
      <c r="E31" s="25" t="s">
        <v>23</v>
      </c>
      <c r="F31" s="25" t="s">
        <v>22</v>
      </c>
      <c r="G31" s="28">
        <v>104</v>
      </c>
      <c r="H31" s="29">
        <v>104</v>
      </c>
      <c r="I31" s="19"/>
      <c r="J31" s="43">
        <f t="shared" si="5"/>
        <v>0</v>
      </c>
      <c r="K31" s="31">
        <f>5.23*17</f>
        <v>88.910000000000011</v>
      </c>
      <c r="L31" s="40">
        <f t="shared" si="6"/>
        <v>5.23</v>
      </c>
      <c r="M31" s="41">
        <f t="shared" si="0"/>
        <v>9246.6400000000012</v>
      </c>
      <c r="N31" s="27">
        <v>0</v>
      </c>
      <c r="O31" s="40">
        <f t="shared" si="1"/>
        <v>9246.6400000000012</v>
      </c>
      <c r="P31" s="32">
        <v>0.1</v>
      </c>
      <c r="Q31" s="40">
        <f t="shared" si="7"/>
        <v>924.66400000000021</v>
      </c>
      <c r="R31" s="42">
        <f t="shared" si="2"/>
        <v>8321.9760000000006</v>
      </c>
      <c r="S31" s="40">
        <f t="shared" si="3"/>
        <v>0</v>
      </c>
      <c r="T31" s="23">
        <f t="shared" si="4"/>
        <v>8321.9760000000006</v>
      </c>
    </row>
    <row r="32" spans="2:21" x14ac:dyDescent="0.25">
      <c r="B32" s="24"/>
      <c r="C32" s="25"/>
      <c r="D32" s="25"/>
      <c r="E32" s="25"/>
      <c r="F32" s="25"/>
      <c r="G32" s="28"/>
      <c r="H32" s="29"/>
      <c r="I32" s="19"/>
      <c r="J32" s="43">
        <f t="shared" si="5"/>
        <v>0</v>
      </c>
      <c r="K32" s="27"/>
      <c r="L32" s="40">
        <f t="shared" si="6"/>
        <v>0</v>
      </c>
      <c r="M32" s="41">
        <f t="shared" si="0"/>
        <v>0</v>
      </c>
      <c r="N32" s="27"/>
      <c r="O32" s="40">
        <f t="shared" si="1"/>
        <v>0</v>
      </c>
      <c r="P32" s="32"/>
      <c r="Q32" s="40">
        <f t="shared" si="7"/>
        <v>0</v>
      </c>
      <c r="R32" s="42">
        <f t="shared" si="2"/>
        <v>0</v>
      </c>
      <c r="S32" s="40">
        <f t="shared" si="3"/>
        <v>0</v>
      </c>
      <c r="T32" s="23">
        <f t="shared" si="4"/>
        <v>0</v>
      </c>
    </row>
    <row r="33" spans="2:29" x14ac:dyDescent="0.25">
      <c r="B33" s="24"/>
      <c r="C33" s="25"/>
      <c r="D33" s="25"/>
      <c r="E33" s="25"/>
      <c r="F33" s="25"/>
      <c r="G33" s="28"/>
      <c r="H33" s="29"/>
      <c r="I33" s="19"/>
      <c r="J33" s="43">
        <f t="shared" si="5"/>
        <v>0</v>
      </c>
      <c r="K33" s="27"/>
      <c r="L33" s="40">
        <f t="shared" si="6"/>
        <v>0</v>
      </c>
      <c r="M33" s="41">
        <f t="shared" si="0"/>
        <v>0</v>
      </c>
      <c r="N33" s="27"/>
      <c r="O33" s="40">
        <f t="shared" si="1"/>
        <v>0</v>
      </c>
      <c r="P33" s="32"/>
      <c r="Q33" s="40">
        <f t="shared" si="7"/>
        <v>0</v>
      </c>
      <c r="R33" s="42">
        <f t="shared" si="2"/>
        <v>0</v>
      </c>
      <c r="S33" s="40">
        <f t="shared" si="3"/>
        <v>0</v>
      </c>
      <c r="T33" s="23">
        <f t="shared" si="4"/>
        <v>0</v>
      </c>
    </row>
    <row r="34" spans="2:29" x14ac:dyDescent="0.25">
      <c r="B34" s="24"/>
      <c r="C34" s="25"/>
      <c r="D34" s="25"/>
      <c r="E34" s="25"/>
      <c r="F34" s="25"/>
      <c r="G34" s="28"/>
      <c r="H34" s="29"/>
      <c r="I34" s="19"/>
      <c r="J34" s="43">
        <f t="shared" si="5"/>
        <v>0</v>
      </c>
      <c r="K34" s="31"/>
      <c r="L34" s="40">
        <f t="shared" si="6"/>
        <v>0</v>
      </c>
      <c r="M34" s="41">
        <f t="shared" si="0"/>
        <v>0</v>
      </c>
      <c r="N34" s="27"/>
      <c r="O34" s="40">
        <f t="shared" si="1"/>
        <v>0</v>
      </c>
      <c r="P34" s="32"/>
      <c r="Q34" s="40">
        <f t="shared" si="7"/>
        <v>0</v>
      </c>
      <c r="R34" s="42">
        <f t="shared" si="2"/>
        <v>0</v>
      </c>
      <c r="S34" s="40">
        <f t="shared" si="3"/>
        <v>0</v>
      </c>
      <c r="T34" s="23">
        <f t="shared" si="4"/>
        <v>0</v>
      </c>
    </row>
    <row r="35" spans="2:29" x14ac:dyDescent="0.25">
      <c r="B35" s="24"/>
      <c r="C35" s="25"/>
      <c r="D35" s="25"/>
      <c r="E35" s="25"/>
      <c r="F35" s="25"/>
      <c r="G35" s="28"/>
      <c r="H35" s="29"/>
      <c r="I35" s="19"/>
      <c r="J35" s="43">
        <f t="shared" si="5"/>
        <v>0</v>
      </c>
      <c r="K35" s="27"/>
      <c r="L35" s="40">
        <f t="shared" si="6"/>
        <v>0</v>
      </c>
      <c r="M35" s="41">
        <f t="shared" si="0"/>
        <v>0</v>
      </c>
      <c r="N35" s="27"/>
      <c r="O35" s="40">
        <f t="shared" si="1"/>
        <v>0</v>
      </c>
      <c r="P35" s="32"/>
      <c r="Q35" s="40">
        <f t="shared" si="7"/>
        <v>0</v>
      </c>
      <c r="R35" s="42">
        <f t="shared" si="2"/>
        <v>0</v>
      </c>
      <c r="S35" s="40">
        <f t="shared" si="3"/>
        <v>0</v>
      </c>
      <c r="T35" s="23">
        <f t="shared" si="4"/>
        <v>0</v>
      </c>
    </row>
    <row r="36" spans="2:29" x14ac:dyDescent="0.25">
      <c r="B36" s="24"/>
      <c r="C36" s="25"/>
      <c r="D36" s="25"/>
      <c r="E36" s="25"/>
      <c r="F36" s="25"/>
      <c r="G36" s="28"/>
      <c r="H36" s="29"/>
      <c r="I36" s="19"/>
      <c r="J36" s="43">
        <f t="shared" si="5"/>
        <v>0</v>
      </c>
      <c r="K36" s="27"/>
      <c r="L36" s="40">
        <f t="shared" si="6"/>
        <v>0</v>
      </c>
      <c r="M36" s="41">
        <f t="shared" ref="M36:M67" si="8">K36*H36</f>
        <v>0</v>
      </c>
      <c r="N36" s="27"/>
      <c r="O36" s="40">
        <f t="shared" ref="O36:O67" si="9">IF(H36="",0,M36-N36)</f>
        <v>0</v>
      </c>
      <c r="P36" s="32"/>
      <c r="Q36" s="40">
        <f t="shared" si="7"/>
        <v>0</v>
      </c>
      <c r="R36" s="42">
        <f t="shared" ref="R36:R67" si="10">IF(J36=0,O36-Q36,0)</f>
        <v>0</v>
      </c>
      <c r="S36" s="40">
        <f t="shared" ref="S36:S67" si="11">IF(J36=0,0,(J36*K36)-N36-(J36*K36-N36)*P36)</f>
        <v>0</v>
      </c>
      <c r="T36" s="23">
        <f t="shared" si="4"/>
        <v>0</v>
      </c>
    </row>
    <row r="37" spans="2:29" x14ac:dyDescent="0.25">
      <c r="B37" s="24"/>
      <c r="C37" s="25"/>
      <c r="D37" s="25"/>
      <c r="E37" s="25"/>
      <c r="F37" s="25"/>
      <c r="G37" s="28"/>
      <c r="H37" s="29"/>
      <c r="I37" s="19"/>
      <c r="J37" s="43">
        <f t="shared" si="5"/>
        <v>0</v>
      </c>
      <c r="K37" s="27"/>
      <c r="L37" s="40">
        <f t="shared" si="6"/>
        <v>0</v>
      </c>
      <c r="M37" s="41">
        <f t="shared" si="8"/>
        <v>0</v>
      </c>
      <c r="N37" s="27"/>
      <c r="O37" s="40">
        <f t="shared" si="9"/>
        <v>0</v>
      </c>
      <c r="P37" s="32"/>
      <c r="Q37" s="40">
        <f t="shared" si="7"/>
        <v>0</v>
      </c>
      <c r="R37" s="42">
        <f t="shared" si="10"/>
        <v>0</v>
      </c>
      <c r="S37" s="40">
        <f t="shared" si="11"/>
        <v>0</v>
      </c>
      <c r="T37" s="23">
        <f t="shared" si="4"/>
        <v>0</v>
      </c>
    </row>
    <row r="38" spans="2:29" x14ac:dyDescent="0.25">
      <c r="B38" s="24"/>
      <c r="C38" s="25"/>
      <c r="D38" s="25"/>
      <c r="E38" s="25"/>
      <c r="F38" s="25"/>
      <c r="G38" s="28"/>
      <c r="H38" s="29"/>
      <c r="I38" s="19"/>
      <c r="J38" s="43">
        <f t="shared" si="5"/>
        <v>0</v>
      </c>
      <c r="K38" s="27"/>
      <c r="L38" s="40">
        <f t="shared" si="6"/>
        <v>0</v>
      </c>
      <c r="M38" s="41">
        <f t="shared" si="8"/>
        <v>0</v>
      </c>
      <c r="N38" s="27"/>
      <c r="O38" s="40">
        <f t="shared" si="9"/>
        <v>0</v>
      </c>
      <c r="P38" s="32"/>
      <c r="Q38" s="40">
        <f t="shared" si="7"/>
        <v>0</v>
      </c>
      <c r="R38" s="42">
        <f t="shared" si="10"/>
        <v>0</v>
      </c>
      <c r="S38" s="40">
        <f t="shared" si="11"/>
        <v>0</v>
      </c>
      <c r="T38" s="23">
        <f t="shared" si="4"/>
        <v>0</v>
      </c>
    </row>
    <row r="39" spans="2:29" x14ac:dyDescent="0.25">
      <c r="B39" s="24"/>
      <c r="C39" s="25"/>
      <c r="D39" s="25"/>
      <c r="E39" s="25"/>
      <c r="F39" s="25"/>
      <c r="G39" s="28"/>
      <c r="H39" s="29"/>
      <c r="I39" s="19"/>
      <c r="J39" s="43">
        <f t="shared" si="5"/>
        <v>0</v>
      </c>
      <c r="K39" s="27"/>
      <c r="L39" s="40">
        <f t="shared" si="6"/>
        <v>0</v>
      </c>
      <c r="M39" s="41">
        <f t="shared" si="8"/>
        <v>0</v>
      </c>
      <c r="N39" s="27"/>
      <c r="O39" s="40">
        <f t="shared" si="9"/>
        <v>0</v>
      </c>
      <c r="P39" s="32"/>
      <c r="Q39" s="40">
        <f t="shared" si="7"/>
        <v>0</v>
      </c>
      <c r="R39" s="42">
        <f t="shared" si="10"/>
        <v>0</v>
      </c>
      <c r="S39" s="40">
        <f t="shared" si="11"/>
        <v>0</v>
      </c>
      <c r="T39" s="23">
        <f t="shared" si="4"/>
        <v>0</v>
      </c>
    </row>
    <row r="40" spans="2:29" x14ac:dyDescent="0.25">
      <c r="B40" s="24"/>
      <c r="C40" s="25"/>
      <c r="D40" s="25"/>
      <c r="E40" s="25"/>
      <c r="F40" s="25"/>
      <c r="G40" s="28"/>
      <c r="H40" s="29"/>
      <c r="I40" s="19"/>
      <c r="J40" s="43">
        <f t="shared" si="5"/>
        <v>0</v>
      </c>
      <c r="K40" s="31"/>
      <c r="L40" s="40">
        <f t="shared" si="6"/>
        <v>0</v>
      </c>
      <c r="M40" s="41">
        <f t="shared" si="8"/>
        <v>0</v>
      </c>
      <c r="N40" s="27"/>
      <c r="O40" s="40">
        <f t="shared" si="9"/>
        <v>0</v>
      </c>
      <c r="P40" s="32"/>
      <c r="Q40" s="40">
        <f t="shared" si="7"/>
        <v>0</v>
      </c>
      <c r="R40" s="42">
        <f t="shared" si="10"/>
        <v>0</v>
      </c>
      <c r="S40" s="40">
        <f t="shared" si="11"/>
        <v>0</v>
      </c>
      <c r="T40" s="23">
        <f t="shared" si="4"/>
        <v>0</v>
      </c>
      <c r="V40" s="34"/>
      <c r="W40" s="35"/>
      <c r="X40" s="35"/>
      <c r="Z40" s="35"/>
      <c r="AA40" s="34"/>
      <c r="AB40" s="35"/>
      <c r="AC40" s="35"/>
    </row>
    <row r="41" spans="2:29" x14ac:dyDescent="0.25">
      <c r="B41" s="24"/>
      <c r="C41" s="25"/>
      <c r="D41" s="25"/>
      <c r="E41" s="25"/>
      <c r="F41" s="25"/>
      <c r="G41" s="28"/>
      <c r="H41" s="29"/>
      <c r="I41" s="19"/>
      <c r="J41" s="43">
        <f t="shared" si="5"/>
        <v>0</v>
      </c>
      <c r="K41" s="27"/>
      <c r="L41" s="40">
        <f t="shared" si="6"/>
        <v>0</v>
      </c>
      <c r="M41" s="41">
        <f t="shared" si="8"/>
        <v>0</v>
      </c>
      <c r="N41" s="27"/>
      <c r="O41" s="40">
        <f t="shared" si="9"/>
        <v>0</v>
      </c>
      <c r="P41" s="32"/>
      <c r="Q41" s="40">
        <f t="shared" si="7"/>
        <v>0</v>
      </c>
      <c r="R41" s="42">
        <f t="shared" si="10"/>
        <v>0</v>
      </c>
      <c r="S41" s="40">
        <f t="shared" si="11"/>
        <v>0</v>
      </c>
      <c r="T41" s="23">
        <f t="shared" si="4"/>
        <v>0</v>
      </c>
    </row>
    <row r="42" spans="2:29" x14ac:dyDescent="0.25">
      <c r="B42" s="24"/>
      <c r="C42" s="25"/>
      <c r="D42" s="25"/>
      <c r="E42" s="25"/>
      <c r="F42" s="25"/>
      <c r="G42" s="28"/>
      <c r="H42" s="29"/>
      <c r="I42" s="19"/>
      <c r="J42" s="43">
        <f t="shared" si="5"/>
        <v>0</v>
      </c>
      <c r="K42" s="27"/>
      <c r="L42" s="40">
        <f t="shared" si="6"/>
        <v>0</v>
      </c>
      <c r="M42" s="41">
        <f t="shared" si="8"/>
        <v>0</v>
      </c>
      <c r="N42" s="27"/>
      <c r="O42" s="40">
        <f t="shared" si="9"/>
        <v>0</v>
      </c>
      <c r="P42" s="32"/>
      <c r="Q42" s="40">
        <f t="shared" si="7"/>
        <v>0</v>
      </c>
      <c r="R42" s="42">
        <f t="shared" si="10"/>
        <v>0</v>
      </c>
      <c r="S42" s="40">
        <f t="shared" si="11"/>
        <v>0</v>
      </c>
      <c r="T42" s="23">
        <f t="shared" si="4"/>
        <v>0</v>
      </c>
      <c r="Z42" s="35"/>
    </row>
    <row r="43" spans="2:29" x14ac:dyDescent="0.25">
      <c r="B43" s="24"/>
      <c r="C43" s="25"/>
      <c r="D43" s="25"/>
      <c r="E43" s="25"/>
      <c r="F43" s="25"/>
      <c r="G43" s="28"/>
      <c r="H43" s="29"/>
      <c r="I43" s="19"/>
      <c r="J43" s="43">
        <f t="shared" si="5"/>
        <v>0</v>
      </c>
      <c r="K43" s="27"/>
      <c r="L43" s="40">
        <f t="shared" si="6"/>
        <v>0</v>
      </c>
      <c r="M43" s="41">
        <f t="shared" si="8"/>
        <v>0</v>
      </c>
      <c r="N43" s="27"/>
      <c r="O43" s="40">
        <f t="shared" si="9"/>
        <v>0</v>
      </c>
      <c r="P43" s="32"/>
      <c r="Q43" s="40">
        <f t="shared" si="7"/>
        <v>0</v>
      </c>
      <c r="R43" s="42">
        <f t="shared" si="10"/>
        <v>0</v>
      </c>
      <c r="S43" s="40">
        <f t="shared" si="11"/>
        <v>0</v>
      </c>
      <c r="T43" s="23">
        <f t="shared" si="4"/>
        <v>0</v>
      </c>
    </row>
    <row r="44" spans="2:29" x14ac:dyDescent="0.25">
      <c r="B44" s="24"/>
      <c r="C44" s="25"/>
      <c r="D44" s="25"/>
      <c r="E44" s="25"/>
      <c r="F44" s="25"/>
      <c r="G44" s="28"/>
      <c r="H44" s="29"/>
      <c r="I44" s="19"/>
      <c r="J44" s="43">
        <f t="shared" si="5"/>
        <v>0</v>
      </c>
      <c r="K44" s="27"/>
      <c r="L44" s="40">
        <f t="shared" si="6"/>
        <v>0</v>
      </c>
      <c r="M44" s="41">
        <f t="shared" si="8"/>
        <v>0</v>
      </c>
      <c r="N44" s="27"/>
      <c r="O44" s="40">
        <f t="shared" si="9"/>
        <v>0</v>
      </c>
      <c r="P44" s="32"/>
      <c r="Q44" s="40">
        <f t="shared" si="7"/>
        <v>0</v>
      </c>
      <c r="R44" s="42">
        <f t="shared" si="10"/>
        <v>0</v>
      </c>
      <c r="S44" s="40">
        <f t="shared" si="11"/>
        <v>0</v>
      </c>
      <c r="T44" s="23">
        <f t="shared" si="4"/>
        <v>0</v>
      </c>
      <c r="V44" s="34"/>
      <c r="W44" s="35"/>
    </row>
    <row r="45" spans="2:29" x14ac:dyDescent="0.25">
      <c r="B45" s="24"/>
      <c r="C45" s="25"/>
      <c r="D45" s="25"/>
      <c r="E45" s="25"/>
      <c r="F45" s="25"/>
      <c r="G45" s="28"/>
      <c r="H45" s="29"/>
      <c r="I45" s="19"/>
      <c r="J45" s="43">
        <f t="shared" si="5"/>
        <v>0</v>
      </c>
      <c r="K45" s="27"/>
      <c r="L45" s="40">
        <f t="shared" si="6"/>
        <v>0</v>
      </c>
      <c r="M45" s="41">
        <f t="shared" si="8"/>
        <v>0</v>
      </c>
      <c r="N45" s="27"/>
      <c r="O45" s="40">
        <f t="shared" si="9"/>
        <v>0</v>
      </c>
      <c r="P45" s="32"/>
      <c r="Q45" s="40">
        <f t="shared" si="7"/>
        <v>0</v>
      </c>
      <c r="R45" s="42">
        <f t="shared" si="10"/>
        <v>0</v>
      </c>
      <c r="S45" s="40">
        <f t="shared" si="11"/>
        <v>0</v>
      </c>
      <c r="T45" s="23">
        <f t="shared" si="4"/>
        <v>0</v>
      </c>
    </row>
    <row r="46" spans="2:29" x14ac:dyDescent="0.25">
      <c r="B46" s="24"/>
      <c r="C46" s="25"/>
      <c r="D46" s="25"/>
      <c r="E46" s="25"/>
      <c r="F46" s="25"/>
      <c r="G46" s="28"/>
      <c r="H46" s="29"/>
      <c r="I46" s="19"/>
      <c r="J46" s="43">
        <f t="shared" si="5"/>
        <v>0</v>
      </c>
      <c r="K46" s="27"/>
      <c r="L46" s="40">
        <f t="shared" si="6"/>
        <v>0</v>
      </c>
      <c r="M46" s="41">
        <f t="shared" si="8"/>
        <v>0</v>
      </c>
      <c r="N46" s="27"/>
      <c r="O46" s="40">
        <f t="shared" si="9"/>
        <v>0</v>
      </c>
      <c r="P46" s="32"/>
      <c r="Q46" s="40">
        <f t="shared" si="7"/>
        <v>0</v>
      </c>
      <c r="R46" s="42">
        <f t="shared" si="10"/>
        <v>0</v>
      </c>
      <c r="S46" s="40">
        <f t="shared" si="11"/>
        <v>0</v>
      </c>
      <c r="T46" s="23">
        <f t="shared" si="4"/>
        <v>0</v>
      </c>
    </row>
    <row r="47" spans="2:29" x14ac:dyDescent="0.25">
      <c r="B47" s="24"/>
      <c r="C47" s="25"/>
      <c r="D47" s="25"/>
      <c r="E47" s="25"/>
      <c r="F47" s="25"/>
      <c r="G47" s="28"/>
      <c r="H47" s="29"/>
      <c r="I47" s="19"/>
      <c r="J47" s="43">
        <f t="shared" si="5"/>
        <v>0</v>
      </c>
      <c r="K47" s="27"/>
      <c r="L47" s="40">
        <f t="shared" si="6"/>
        <v>0</v>
      </c>
      <c r="M47" s="41">
        <f t="shared" si="8"/>
        <v>0</v>
      </c>
      <c r="N47" s="27"/>
      <c r="O47" s="40">
        <f t="shared" si="9"/>
        <v>0</v>
      </c>
      <c r="P47" s="32"/>
      <c r="Q47" s="40">
        <f t="shared" si="7"/>
        <v>0</v>
      </c>
      <c r="R47" s="42">
        <f t="shared" si="10"/>
        <v>0</v>
      </c>
      <c r="S47" s="40">
        <f t="shared" si="11"/>
        <v>0</v>
      </c>
      <c r="T47" s="23">
        <f t="shared" si="4"/>
        <v>0</v>
      </c>
    </row>
    <row r="48" spans="2:29" x14ac:dyDescent="0.25">
      <c r="B48" s="24"/>
      <c r="C48" s="25"/>
      <c r="D48" s="25"/>
      <c r="E48" s="25"/>
      <c r="F48" s="25"/>
      <c r="G48" s="28"/>
      <c r="H48" s="29"/>
      <c r="I48" s="19"/>
      <c r="J48" s="43">
        <f t="shared" si="5"/>
        <v>0</v>
      </c>
      <c r="K48" s="27"/>
      <c r="L48" s="40">
        <f t="shared" si="6"/>
        <v>0</v>
      </c>
      <c r="M48" s="41">
        <f t="shared" si="8"/>
        <v>0</v>
      </c>
      <c r="N48" s="27"/>
      <c r="O48" s="40">
        <f t="shared" si="9"/>
        <v>0</v>
      </c>
      <c r="P48" s="32"/>
      <c r="Q48" s="40">
        <f t="shared" si="7"/>
        <v>0</v>
      </c>
      <c r="R48" s="42">
        <f t="shared" si="10"/>
        <v>0</v>
      </c>
      <c r="S48" s="40">
        <f t="shared" si="11"/>
        <v>0</v>
      </c>
      <c r="T48" s="23">
        <f t="shared" si="4"/>
        <v>0</v>
      </c>
    </row>
    <row r="49" spans="2:22" x14ac:dyDescent="0.25">
      <c r="B49" s="24"/>
      <c r="C49" s="25"/>
      <c r="D49" s="25"/>
      <c r="E49" s="25"/>
      <c r="F49" s="25"/>
      <c r="G49" s="28"/>
      <c r="H49" s="29"/>
      <c r="I49" s="19"/>
      <c r="J49" s="43">
        <f t="shared" si="5"/>
        <v>0</v>
      </c>
      <c r="K49" s="27"/>
      <c r="L49" s="40">
        <f t="shared" si="6"/>
        <v>0</v>
      </c>
      <c r="M49" s="41">
        <f t="shared" si="8"/>
        <v>0</v>
      </c>
      <c r="N49" s="27"/>
      <c r="O49" s="40">
        <f t="shared" si="9"/>
        <v>0</v>
      </c>
      <c r="P49" s="32"/>
      <c r="Q49" s="40">
        <f t="shared" si="7"/>
        <v>0</v>
      </c>
      <c r="R49" s="42">
        <f t="shared" si="10"/>
        <v>0</v>
      </c>
      <c r="S49" s="40">
        <f t="shared" si="11"/>
        <v>0</v>
      </c>
      <c r="T49" s="23">
        <f t="shared" si="4"/>
        <v>0</v>
      </c>
    </row>
    <row r="50" spans="2:22" x14ac:dyDescent="0.25">
      <c r="B50" s="24"/>
      <c r="C50" s="25"/>
      <c r="D50" s="25"/>
      <c r="E50" s="25"/>
      <c r="F50" s="25"/>
      <c r="G50" s="28"/>
      <c r="H50" s="29"/>
      <c r="I50" s="19"/>
      <c r="J50" s="43">
        <f t="shared" si="5"/>
        <v>0</v>
      </c>
      <c r="K50" s="27"/>
      <c r="L50" s="40">
        <f t="shared" si="6"/>
        <v>0</v>
      </c>
      <c r="M50" s="41">
        <f t="shared" si="8"/>
        <v>0</v>
      </c>
      <c r="N50" s="27"/>
      <c r="O50" s="40">
        <f t="shared" si="9"/>
        <v>0</v>
      </c>
      <c r="P50" s="32"/>
      <c r="Q50" s="40">
        <f t="shared" si="7"/>
        <v>0</v>
      </c>
      <c r="R50" s="42">
        <f t="shared" si="10"/>
        <v>0</v>
      </c>
      <c r="S50" s="40">
        <f t="shared" si="11"/>
        <v>0</v>
      </c>
      <c r="T50" s="23">
        <f t="shared" si="4"/>
        <v>0</v>
      </c>
    </row>
    <row r="51" spans="2:22" x14ac:dyDescent="0.25">
      <c r="B51" s="24"/>
      <c r="C51" s="25"/>
      <c r="D51" s="25"/>
      <c r="E51" s="25"/>
      <c r="F51" s="25"/>
      <c r="G51" s="28"/>
      <c r="H51" s="29"/>
      <c r="I51" s="19"/>
      <c r="J51" s="43">
        <f t="shared" si="5"/>
        <v>0</v>
      </c>
      <c r="K51" s="27"/>
      <c r="L51" s="40">
        <f t="shared" si="6"/>
        <v>0</v>
      </c>
      <c r="M51" s="41">
        <f t="shared" si="8"/>
        <v>0</v>
      </c>
      <c r="N51" s="27"/>
      <c r="O51" s="40">
        <f t="shared" si="9"/>
        <v>0</v>
      </c>
      <c r="P51" s="32"/>
      <c r="Q51" s="40">
        <f t="shared" si="7"/>
        <v>0</v>
      </c>
      <c r="R51" s="42">
        <f t="shared" si="10"/>
        <v>0</v>
      </c>
      <c r="S51" s="40">
        <f t="shared" si="11"/>
        <v>0</v>
      </c>
      <c r="T51" s="23">
        <f t="shared" si="4"/>
        <v>0</v>
      </c>
    </row>
    <row r="52" spans="2:22" x14ac:dyDescent="0.25">
      <c r="B52" s="24"/>
      <c r="C52" s="25"/>
      <c r="D52" s="25"/>
      <c r="E52" s="25"/>
      <c r="F52" s="25"/>
      <c r="G52" s="28"/>
      <c r="H52" s="29"/>
      <c r="I52" s="19"/>
      <c r="J52" s="43">
        <f t="shared" si="5"/>
        <v>0</v>
      </c>
      <c r="K52" s="27"/>
      <c r="L52" s="40">
        <f t="shared" si="6"/>
        <v>0</v>
      </c>
      <c r="M52" s="41">
        <f t="shared" si="8"/>
        <v>0</v>
      </c>
      <c r="N52" s="27"/>
      <c r="O52" s="40">
        <f t="shared" si="9"/>
        <v>0</v>
      </c>
      <c r="P52" s="32"/>
      <c r="Q52" s="40">
        <f t="shared" si="7"/>
        <v>0</v>
      </c>
      <c r="R52" s="42">
        <f t="shared" si="10"/>
        <v>0</v>
      </c>
      <c r="S52" s="40">
        <f t="shared" si="11"/>
        <v>0</v>
      </c>
      <c r="T52" s="23">
        <f t="shared" si="4"/>
        <v>0</v>
      </c>
    </row>
    <row r="53" spans="2:22" x14ac:dyDescent="0.25">
      <c r="B53" s="24"/>
      <c r="C53" s="25"/>
      <c r="D53" s="25"/>
      <c r="E53" s="25"/>
      <c r="F53" s="25"/>
      <c r="G53" s="28"/>
      <c r="H53" s="29"/>
      <c r="I53" s="19"/>
      <c r="J53" s="43">
        <f t="shared" si="5"/>
        <v>0</v>
      </c>
      <c r="K53" s="27"/>
      <c r="L53" s="40">
        <f t="shared" si="6"/>
        <v>0</v>
      </c>
      <c r="M53" s="41">
        <f t="shared" si="8"/>
        <v>0</v>
      </c>
      <c r="N53" s="27"/>
      <c r="O53" s="40">
        <f t="shared" si="9"/>
        <v>0</v>
      </c>
      <c r="P53" s="32"/>
      <c r="Q53" s="40">
        <f t="shared" si="7"/>
        <v>0</v>
      </c>
      <c r="R53" s="42">
        <f t="shared" si="10"/>
        <v>0</v>
      </c>
      <c r="S53" s="40">
        <f t="shared" si="11"/>
        <v>0</v>
      </c>
      <c r="T53" s="23">
        <f t="shared" si="4"/>
        <v>0</v>
      </c>
    </row>
    <row r="54" spans="2:22" x14ac:dyDescent="0.25">
      <c r="B54" s="24"/>
      <c r="C54" s="25"/>
      <c r="D54" s="25"/>
      <c r="E54" s="25"/>
      <c r="F54" s="25"/>
      <c r="G54" s="28"/>
      <c r="H54" s="29"/>
      <c r="I54" s="19"/>
      <c r="J54" s="43">
        <f t="shared" si="5"/>
        <v>0</v>
      </c>
      <c r="K54" s="27"/>
      <c r="L54" s="40">
        <f t="shared" si="6"/>
        <v>0</v>
      </c>
      <c r="M54" s="41">
        <f t="shared" si="8"/>
        <v>0</v>
      </c>
      <c r="N54" s="27"/>
      <c r="O54" s="40">
        <f t="shared" si="9"/>
        <v>0</v>
      </c>
      <c r="P54" s="32"/>
      <c r="Q54" s="40">
        <f t="shared" si="7"/>
        <v>0</v>
      </c>
      <c r="R54" s="42">
        <f t="shared" si="10"/>
        <v>0</v>
      </c>
      <c r="S54" s="40">
        <f t="shared" si="11"/>
        <v>0</v>
      </c>
      <c r="T54" s="23">
        <f t="shared" si="4"/>
        <v>0</v>
      </c>
    </row>
    <row r="55" spans="2:22" x14ac:dyDescent="0.25">
      <c r="B55" s="24"/>
      <c r="C55" s="25"/>
      <c r="D55" s="25"/>
      <c r="E55" s="25"/>
      <c r="F55" s="25"/>
      <c r="G55" s="28"/>
      <c r="H55" s="29"/>
      <c r="I55" s="19"/>
      <c r="J55" s="43">
        <f t="shared" si="5"/>
        <v>0</v>
      </c>
      <c r="K55" s="27"/>
      <c r="L55" s="40">
        <f t="shared" si="6"/>
        <v>0</v>
      </c>
      <c r="M55" s="41">
        <f t="shared" si="8"/>
        <v>0</v>
      </c>
      <c r="N55" s="27"/>
      <c r="O55" s="40">
        <f t="shared" si="9"/>
        <v>0</v>
      </c>
      <c r="P55" s="32"/>
      <c r="Q55" s="40">
        <f t="shared" si="7"/>
        <v>0</v>
      </c>
      <c r="R55" s="42">
        <f t="shared" si="10"/>
        <v>0</v>
      </c>
      <c r="S55" s="40">
        <f t="shared" si="11"/>
        <v>0</v>
      </c>
      <c r="T55" s="23">
        <f t="shared" si="4"/>
        <v>0</v>
      </c>
    </row>
    <row r="56" spans="2:22" x14ac:dyDescent="0.25">
      <c r="B56" s="24"/>
      <c r="C56" s="25"/>
      <c r="D56" s="25"/>
      <c r="E56" s="25"/>
      <c r="F56" s="25"/>
      <c r="G56" s="28"/>
      <c r="H56" s="29"/>
      <c r="I56" s="19"/>
      <c r="J56" s="43">
        <f t="shared" si="5"/>
        <v>0</v>
      </c>
      <c r="K56" s="27"/>
      <c r="L56" s="40">
        <f t="shared" si="6"/>
        <v>0</v>
      </c>
      <c r="M56" s="41">
        <f t="shared" si="8"/>
        <v>0</v>
      </c>
      <c r="N56" s="27"/>
      <c r="O56" s="40">
        <f t="shared" si="9"/>
        <v>0</v>
      </c>
      <c r="P56" s="32"/>
      <c r="Q56" s="40">
        <f t="shared" si="7"/>
        <v>0</v>
      </c>
      <c r="R56" s="42">
        <f t="shared" si="10"/>
        <v>0</v>
      </c>
      <c r="S56" s="40">
        <f t="shared" si="11"/>
        <v>0</v>
      </c>
      <c r="T56" s="23">
        <f t="shared" si="4"/>
        <v>0</v>
      </c>
    </row>
    <row r="57" spans="2:22" x14ac:dyDescent="0.25">
      <c r="B57" s="24"/>
      <c r="C57" s="25"/>
      <c r="D57" s="25"/>
      <c r="E57" s="25"/>
      <c r="F57" s="25"/>
      <c r="G57" s="28"/>
      <c r="H57" s="29"/>
      <c r="I57" s="19"/>
      <c r="J57" s="43">
        <f t="shared" si="5"/>
        <v>0</v>
      </c>
      <c r="K57" s="27"/>
      <c r="L57" s="40">
        <f t="shared" si="6"/>
        <v>0</v>
      </c>
      <c r="M57" s="41">
        <f t="shared" si="8"/>
        <v>0</v>
      </c>
      <c r="N57" s="27"/>
      <c r="O57" s="40">
        <f t="shared" si="9"/>
        <v>0</v>
      </c>
      <c r="P57" s="32"/>
      <c r="Q57" s="40">
        <f t="shared" si="7"/>
        <v>0</v>
      </c>
      <c r="R57" s="42">
        <f t="shared" si="10"/>
        <v>0</v>
      </c>
      <c r="S57" s="40">
        <f t="shared" si="11"/>
        <v>0</v>
      </c>
      <c r="T57" s="23">
        <f t="shared" si="4"/>
        <v>0</v>
      </c>
    </row>
    <row r="58" spans="2:22" x14ac:dyDescent="0.25">
      <c r="B58" s="24"/>
      <c r="C58" s="25"/>
      <c r="D58" s="25"/>
      <c r="E58" s="25"/>
      <c r="F58" s="25"/>
      <c r="G58" s="28"/>
      <c r="H58" s="29"/>
      <c r="I58" s="19"/>
      <c r="J58" s="43">
        <f t="shared" si="5"/>
        <v>0</v>
      </c>
      <c r="K58" s="27"/>
      <c r="L58" s="40">
        <f t="shared" si="6"/>
        <v>0</v>
      </c>
      <c r="M58" s="41">
        <f t="shared" si="8"/>
        <v>0</v>
      </c>
      <c r="N58" s="27"/>
      <c r="O58" s="40">
        <f t="shared" si="9"/>
        <v>0</v>
      </c>
      <c r="P58" s="32"/>
      <c r="Q58" s="40">
        <f t="shared" si="7"/>
        <v>0</v>
      </c>
      <c r="R58" s="42">
        <f t="shared" si="10"/>
        <v>0</v>
      </c>
      <c r="S58" s="40">
        <f t="shared" si="11"/>
        <v>0</v>
      </c>
      <c r="T58" s="23">
        <f t="shared" si="4"/>
        <v>0</v>
      </c>
    </row>
    <row r="59" spans="2:22" x14ac:dyDescent="0.25">
      <c r="B59" s="24"/>
      <c r="C59" s="25"/>
      <c r="D59" s="25"/>
      <c r="E59" s="25"/>
      <c r="F59" s="25"/>
      <c r="G59" s="28"/>
      <c r="H59" s="29"/>
      <c r="I59" s="19"/>
      <c r="J59" s="43">
        <f t="shared" si="5"/>
        <v>0</v>
      </c>
      <c r="K59" s="27"/>
      <c r="L59" s="40">
        <f t="shared" si="6"/>
        <v>0</v>
      </c>
      <c r="M59" s="41">
        <f t="shared" si="8"/>
        <v>0</v>
      </c>
      <c r="N59" s="27"/>
      <c r="O59" s="40">
        <f t="shared" si="9"/>
        <v>0</v>
      </c>
      <c r="P59" s="32"/>
      <c r="Q59" s="40">
        <f t="shared" si="7"/>
        <v>0</v>
      </c>
      <c r="R59" s="42">
        <f t="shared" si="10"/>
        <v>0</v>
      </c>
      <c r="S59" s="40">
        <f t="shared" si="11"/>
        <v>0</v>
      </c>
      <c r="T59" s="23">
        <f t="shared" si="4"/>
        <v>0</v>
      </c>
    </row>
    <row r="60" spans="2:22" x14ac:dyDescent="0.25">
      <c r="B60" s="24"/>
      <c r="C60" s="25"/>
      <c r="D60" s="25"/>
      <c r="E60" s="25"/>
      <c r="F60" s="25"/>
      <c r="G60" s="28"/>
      <c r="H60" s="29"/>
      <c r="I60" s="19"/>
      <c r="J60" s="43">
        <f t="shared" si="5"/>
        <v>0</v>
      </c>
      <c r="K60" s="27"/>
      <c r="L60" s="40">
        <f t="shared" si="6"/>
        <v>0</v>
      </c>
      <c r="M60" s="41">
        <f t="shared" si="8"/>
        <v>0</v>
      </c>
      <c r="N60" s="27"/>
      <c r="O60" s="40">
        <f t="shared" si="9"/>
        <v>0</v>
      </c>
      <c r="P60" s="32"/>
      <c r="Q60" s="40">
        <f t="shared" si="7"/>
        <v>0</v>
      </c>
      <c r="R60" s="42">
        <f t="shared" si="10"/>
        <v>0</v>
      </c>
      <c r="S60" s="40">
        <f t="shared" si="11"/>
        <v>0</v>
      </c>
      <c r="T60" s="23">
        <f t="shared" si="4"/>
        <v>0</v>
      </c>
    </row>
    <row r="61" spans="2:22" x14ac:dyDescent="0.25">
      <c r="B61" s="24"/>
      <c r="C61" s="25"/>
      <c r="D61" s="25"/>
      <c r="E61" s="25"/>
      <c r="F61" s="25"/>
      <c r="G61" s="28"/>
      <c r="H61" s="29"/>
      <c r="I61" s="19"/>
      <c r="J61" s="43">
        <f t="shared" si="5"/>
        <v>0</v>
      </c>
      <c r="K61" s="27"/>
      <c r="L61" s="40">
        <f t="shared" si="6"/>
        <v>0</v>
      </c>
      <c r="M61" s="41">
        <f t="shared" si="8"/>
        <v>0</v>
      </c>
      <c r="N61" s="27"/>
      <c r="O61" s="40">
        <f t="shared" si="9"/>
        <v>0</v>
      </c>
      <c r="P61" s="32"/>
      <c r="Q61" s="40">
        <f t="shared" si="7"/>
        <v>0</v>
      </c>
      <c r="R61" s="42">
        <f t="shared" si="10"/>
        <v>0</v>
      </c>
      <c r="S61" s="40">
        <f t="shared" si="11"/>
        <v>0</v>
      </c>
      <c r="T61" s="23">
        <f t="shared" si="4"/>
        <v>0</v>
      </c>
    </row>
    <row r="62" spans="2:22" x14ac:dyDescent="0.25">
      <c r="B62" s="24"/>
      <c r="C62" s="25"/>
      <c r="D62" s="25"/>
      <c r="E62" s="25"/>
      <c r="F62" s="25"/>
      <c r="G62" s="28"/>
      <c r="H62" s="29"/>
      <c r="I62" s="19"/>
      <c r="J62" s="43">
        <f t="shared" si="5"/>
        <v>0</v>
      </c>
      <c r="K62" s="27"/>
      <c r="L62" s="40">
        <f t="shared" si="6"/>
        <v>0</v>
      </c>
      <c r="M62" s="41">
        <f t="shared" si="8"/>
        <v>0</v>
      </c>
      <c r="N62" s="27"/>
      <c r="O62" s="40">
        <f t="shared" si="9"/>
        <v>0</v>
      </c>
      <c r="P62" s="32"/>
      <c r="Q62" s="40">
        <f t="shared" si="7"/>
        <v>0</v>
      </c>
      <c r="R62" s="42">
        <f t="shared" si="10"/>
        <v>0</v>
      </c>
      <c r="S62" s="40">
        <f t="shared" si="11"/>
        <v>0</v>
      </c>
      <c r="T62" s="23">
        <f t="shared" si="4"/>
        <v>0</v>
      </c>
    </row>
    <row r="63" spans="2:22" x14ac:dyDescent="0.25">
      <c r="B63" s="24"/>
      <c r="C63" s="25"/>
      <c r="D63" s="25"/>
      <c r="E63" s="25"/>
      <c r="F63" s="25"/>
      <c r="G63" s="26"/>
      <c r="H63" s="20"/>
      <c r="I63" s="19"/>
      <c r="J63" s="43">
        <f t="shared" si="5"/>
        <v>0</v>
      </c>
      <c r="K63" s="27"/>
      <c r="L63" s="40">
        <f t="shared" si="6"/>
        <v>0</v>
      </c>
      <c r="M63" s="41">
        <f t="shared" si="8"/>
        <v>0</v>
      </c>
      <c r="N63" s="27"/>
      <c r="O63" s="40">
        <f t="shared" si="9"/>
        <v>0</v>
      </c>
      <c r="P63" s="32"/>
      <c r="Q63" s="40">
        <f t="shared" si="7"/>
        <v>0</v>
      </c>
      <c r="R63" s="42">
        <f t="shared" si="10"/>
        <v>0</v>
      </c>
      <c r="S63" s="40">
        <f t="shared" si="11"/>
        <v>0</v>
      </c>
      <c r="T63" s="23">
        <f t="shared" ref="T63:T105" si="12">R63+S63</f>
        <v>0</v>
      </c>
      <c r="U63" s="37"/>
      <c r="V63" s="105"/>
    </row>
    <row r="64" spans="2:22" x14ac:dyDescent="0.25">
      <c r="B64" s="24"/>
      <c r="C64" s="25"/>
      <c r="D64" s="25"/>
      <c r="E64" s="25"/>
      <c r="F64" s="25"/>
      <c r="G64" s="28"/>
      <c r="H64" s="29"/>
      <c r="I64" s="19"/>
      <c r="J64" s="43">
        <f t="shared" ref="J64:J105" si="13">G64-H64-I64</f>
        <v>0</v>
      </c>
      <c r="K64" s="27"/>
      <c r="L64" s="40">
        <f t="shared" ref="L64:L105" si="14">K64/17</f>
        <v>0</v>
      </c>
      <c r="M64" s="41">
        <f t="shared" si="8"/>
        <v>0</v>
      </c>
      <c r="N64" s="27"/>
      <c r="O64" s="40">
        <f t="shared" si="9"/>
        <v>0</v>
      </c>
      <c r="P64" s="32"/>
      <c r="Q64" s="40">
        <f t="shared" ref="Q64:Q105" si="15">O64*P64</f>
        <v>0</v>
      </c>
      <c r="R64" s="42">
        <f t="shared" si="10"/>
        <v>0</v>
      </c>
      <c r="S64" s="40">
        <f t="shared" si="11"/>
        <v>0</v>
      </c>
      <c r="T64" s="23">
        <f t="shared" si="12"/>
        <v>0</v>
      </c>
      <c r="U64" s="37"/>
    </row>
    <row r="65" spans="2:22" x14ac:dyDescent="0.25">
      <c r="B65" s="24"/>
      <c r="C65" s="25"/>
      <c r="D65" s="25"/>
      <c r="E65" s="25"/>
      <c r="F65" s="25"/>
      <c r="G65" s="28"/>
      <c r="H65" s="29"/>
      <c r="I65" s="19"/>
      <c r="J65" s="43">
        <f t="shared" si="13"/>
        <v>0</v>
      </c>
      <c r="K65" s="27"/>
      <c r="L65" s="40">
        <f t="shared" si="14"/>
        <v>0</v>
      </c>
      <c r="M65" s="41">
        <f t="shared" si="8"/>
        <v>0</v>
      </c>
      <c r="N65" s="27"/>
      <c r="O65" s="40">
        <f t="shared" si="9"/>
        <v>0</v>
      </c>
      <c r="P65" s="32"/>
      <c r="Q65" s="40">
        <f t="shared" si="15"/>
        <v>0</v>
      </c>
      <c r="R65" s="42">
        <f t="shared" si="10"/>
        <v>0</v>
      </c>
      <c r="S65" s="40">
        <f t="shared" si="11"/>
        <v>0</v>
      </c>
      <c r="T65" s="23">
        <f t="shared" si="12"/>
        <v>0</v>
      </c>
      <c r="U65" s="37"/>
    </row>
    <row r="66" spans="2:22" x14ac:dyDescent="0.25">
      <c r="B66" s="24"/>
      <c r="C66" s="25"/>
      <c r="D66" s="25"/>
      <c r="E66" s="25"/>
      <c r="F66" s="25"/>
      <c r="G66" s="28"/>
      <c r="H66" s="29"/>
      <c r="I66" s="19"/>
      <c r="J66" s="43">
        <f t="shared" si="13"/>
        <v>0</v>
      </c>
      <c r="K66" s="27"/>
      <c r="L66" s="40">
        <f t="shared" si="14"/>
        <v>0</v>
      </c>
      <c r="M66" s="41">
        <f t="shared" si="8"/>
        <v>0</v>
      </c>
      <c r="N66" s="27"/>
      <c r="O66" s="40">
        <f t="shared" si="9"/>
        <v>0</v>
      </c>
      <c r="P66" s="32"/>
      <c r="Q66" s="40">
        <f t="shared" si="15"/>
        <v>0</v>
      </c>
      <c r="R66" s="42">
        <f t="shared" si="10"/>
        <v>0</v>
      </c>
      <c r="S66" s="40">
        <f t="shared" si="11"/>
        <v>0</v>
      </c>
      <c r="T66" s="23">
        <f t="shared" si="12"/>
        <v>0</v>
      </c>
      <c r="U66" s="37"/>
      <c r="V66" s="106"/>
    </row>
    <row r="67" spans="2:22" x14ac:dyDescent="0.25">
      <c r="B67" s="24"/>
      <c r="C67" s="25"/>
      <c r="D67" s="25"/>
      <c r="E67" s="25"/>
      <c r="F67" s="25"/>
      <c r="G67" s="28"/>
      <c r="H67" s="29"/>
      <c r="I67" s="19"/>
      <c r="J67" s="43">
        <f t="shared" si="13"/>
        <v>0</v>
      </c>
      <c r="K67" s="31"/>
      <c r="L67" s="40">
        <f t="shared" si="14"/>
        <v>0</v>
      </c>
      <c r="M67" s="41">
        <f t="shared" si="8"/>
        <v>0</v>
      </c>
      <c r="N67" s="27"/>
      <c r="O67" s="40">
        <f t="shared" si="9"/>
        <v>0</v>
      </c>
      <c r="P67" s="32"/>
      <c r="Q67" s="40">
        <f t="shared" si="15"/>
        <v>0</v>
      </c>
      <c r="R67" s="42">
        <f t="shared" si="10"/>
        <v>0</v>
      </c>
      <c r="S67" s="40">
        <f t="shared" si="11"/>
        <v>0</v>
      </c>
      <c r="T67" s="23">
        <f t="shared" si="12"/>
        <v>0</v>
      </c>
      <c r="U67" s="37"/>
    </row>
    <row r="68" spans="2:22" x14ac:dyDescent="0.25">
      <c r="B68" s="24"/>
      <c r="C68" s="25"/>
      <c r="D68" s="25"/>
      <c r="E68" s="25"/>
      <c r="F68" s="25"/>
      <c r="G68" s="28"/>
      <c r="H68" s="29"/>
      <c r="I68" s="19"/>
      <c r="J68" s="43">
        <f t="shared" si="13"/>
        <v>0</v>
      </c>
      <c r="K68" s="31"/>
      <c r="L68" s="40">
        <f t="shared" si="14"/>
        <v>0</v>
      </c>
      <c r="M68" s="41">
        <f t="shared" ref="M68:M99" si="16">K68*H68</f>
        <v>0</v>
      </c>
      <c r="N68" s="27"/>
      <c r="O68" s="40">
        <f t="shared" ref="O68:O99" si="17">IF(H68="",0,M68-N68)</f>
        <v>0</v>
      </c>
      <c r="P68" s="32"/>
      <c r="Q68" s="40">
        <f t="shared" si="15"/>
        <v>0</v>
      </c>
      <c r="R68" s="42">
        <f t="shared" ref="R68:R99" si="18">IF(J68=0,O68-Q68,0)</f>
        <v>0</v>
      </c>
      <c r="S68" s="40">
        <f t="shared" ref="S68:S99" si="19">IF(J68=0,0,(J68*K68)-N68-(J68*K68-N68)*P68)</f>
        <v>0</v>
      </c>
      <c r="T68" s="23">
        <f t="shared" si="12"/>
        <v>0</v>
      </c>
    </row>
    <row r="69" spans="2:22" x14ac:dyDescent="0.25">
      <c r="B69" s="24"/>
      <c r="C69" s="25"/>
      <c r="D69" s="25"/>
      <c r="E69" s="25"/>
      <c r="F69" s="25"/>
      <c r="G69" s="28"/>
      <c r="H69" s="29"/>
      <c r="I69" s="19"/>
      <c r="J69" s="43">
        <f t="shared" si="13"/>
        <v>0</v>
      </c>
      <c r="K69" s="27"/>
      <c r="L69" s="40">
        <f t="shared" si="14"/>
        <v>0</v>
      </c>
      <c r="M69" s="41">
        <f t="shared" si="16"/>
        <v>0</v>
      </c>
      <c r="N69" s="27"/>
      <c r="O69" s="40">
        <f t="shared" si="17"/>
        <v>0</v>
      </c>
      <c r="P69" s="32"/>
      <c r="Q69" s="40">
        <f t="shared" si="15"/>
        <v>0</v>
      </c>
      <c r="R69" s="42">
        <f t="shared" si="18"/>
        <v>0</v>
      </c>
      <c r="S69" s="40">
        <f t="shared" si="19"/>
        <v>0</v>
      </c>
      <c r="T69" s="23">
        <f t="shared" si="12"/>
        <v>0</v>
      </c>
    </row>
    <row r="70" spans="2:22" x14ac:dyDescent="0.25">
      <c r="B70" s="24"/>
      <c r="C70" s="25"/>
      <c r="D70" s="25"/>
      <c r="E70" s="25"/>
      <c r="F70" s="25"/>
      <c r="G70" s="28"/>
      <c r="H70" s="29"/>
      <c r="I70" s="19"/>
      <c r="J70" s="43">
        <f t="shared" si="13"/>
        <v>0</v>
      </c>
      <c r="K70" s="31"/>
      <c r="L70" s="40">
        <f t="shared" si="14"/>
        <v>0</v>
      </c>
      <c r="M70" s="41">
        <f t="shared" si="16"/>
        <v>0</v>
      </c>
      <c r="N70" s="27"/>
      <c r="O70" s="40">
        <f t="shared" si="17"/>
        <v>0</v>
      </c>
      <c r="P70" s="32"/>
      <c r="Q70" s="40">
        <f t="shared" si="15"/>
        <v>0</v>
      </c>
      <c r="R70" s="42">
        <f t="shared" si="18"/>
        <v>0</v>
      </c>
      <c r="S70" s="40">
        <f t="shared" si="19"/>
        <v>0</v>
      </c>
      <c r="T70" s="23">
        <f t="shared" si="12"/>
        <v>0</v>
      </c>
    </row>
    <row r="71" spans="2:22" x14ac:dyDescent="0.25">
      <c r="B71" s="24"/>
      <c r="C71" s="25"/>
      <c r="D71" s="25"/>
      <c r="E71" s="25"/>
      <c r="F71" s="25"/>
      <c r="G71" s="28"/>
      <c r="H71" s="29"/>
      <c r="I71" s="19"/>
      <c r="J71" s="43">
        <f t="shared" si="13"/>
        <v>0</v>
      </c>
      <c r="K71" s="27"/>
      <c r="L71" s="40">
        <f t="shared" si="14"/>
        <v>0</v>
      </c>
      <c r="M71" s="41">
        <f t="shared" si="16"/>
        <v>0</v>
      </c>
      <c r="N71" s="27"/>
      <c r="O71" s="40">
        <f t="shared" si="17"/>
        <v>0</v>
      </c>
      <c r="P71" s="32"/>
      <c r="Q71" s="40">
        <f t="shared" si="15"/>
        <v>0</v>
      </c>
      <c r="R71" s="42">
        <f t="shared" si="18"/>
        <v>0</v>
      </c>
      <c r="S71" s="40">
        <f t="shared" si="19"/>
        <v>0</v>
      </c>
      <c r="T71" s="23">
        <f t="shared" si="12"/>
        <v>0</v>
      </c>
    </row>
    <row r="72" spans="2:22" x14ac:dyDescent="0.25">
      <c r="B72" s="24"/>
      <c r="C72" s="25"/>
      <c r="D72" s="25"/>
      <c r="E72" s="25"/>
      <c r="F72" s="25"/>
      <c r="G72" s="28"/>
      <c r="H72" s="29"/>
      <c r="I72" s="19"/>
      <c r="J72" s="43">
        <f t="shared" si="13"/>
        <v>0</v>
      </c>
      <c r="K72" s="27"/>
      <c r="L72" s="40">
        <f t="shared" si="14"/>
        <v>0</v>
      </c>
      <c r="M72" s="41">
        <f t="shared" si="16"/>
        <v>0</v>
      </c>
      <c r="N72" s="27"/>
      <c r="O72" s="40">
        <f t="shared" si="17"/>
        <v>0</v>
      </c>
      <c r="P72" s="32"/>
      <c r="Q72" s="40">
        <f t="shared" si="15"/>
        <v>0</v>
      </c>
      <c r="R72" s="42">
        <f t="shared" si="18"/>
        <v>0</v>
      </c>
      <c r="S72" s="40">
        <f t="shared" si="19"/>
        <v>0</v>
      </c>
      <c r="T72" s="23">
        <f t="shared" si="12"/>
        <v>0</v>
      </c>
    </row>
    <row r="73" spans="2:22" x14ac:dyDescent="0.25">
      <c r="B73" s="24"/>
      <c r="C73" s="25"/>
      <c r="D73" s="25"/>
      <c r="E73" s="25"/>
      <c r="F73" s="25"/>
      <c r="G73" s="28"/>
      <c r="H73" s="29"/>
      <c r="I73" s="19"/>
      <c r="J73" s="43">
        <f t="shared" si="13"/>
        <v>0</v>
      </c>
      <c r="K73" s="31"/>
      <c r="L73" s="40">
        <f t="shared" si="14"/>
        <v>0</v>
      </c>
      <c r="M73" s="41">
        <f t="shared" si="16"/>
        <v>0</v>
      </c>
      <c r="N73" s="27"/>
      <c r="O73" s="40">
        <f t="shared" si="17"/>
        <v>0</v>
      </c>
      <c r="P73" s="32"/>
      <c r="Q73" s="40">
        <f t="shared" si="15"/>
        <v>0</v>
      </c>
      <c r="R73" s="42">
        <f t="shared" si="18"/>
        <v>0</v>
      </c>
      <c r="S73" s="40">
        <f t="shared" si="19"/>
        <v>0</v>
      </c>
      <c r="T73" s="23">
        <f t="shared" si="12"/>
        <v>0</v>
      </c>
    </row>
    <row r="74" spans="2:22" x14ac:dyDescent="0.25">
      <c r="B74" s="24"/>
      <c r="C74" s="25"/>
      <c r="D74" s="25"/>
      <c r="E74" s="25"/>
      <c r="F74" s="25"/>
      <c r="G74" s="28"/>
      <c r="H74" s="29"/>
      <c r="I74" s="19"/>
      <c r="J74" s="43">
        <f t="shared" si="13"/>
        <v>0</v>
      </c>
      <c r="K74" s="31"/>
      <c r="L74" s="40">
        <f t="shared" si="14"/>
        <v>0</v>
      </c>
      <c r="M74" s="41">
        <f t="shared" si="16"/>
        <v>0</v>
      </c>
      <c r="N74" s="27"/>
      <c r="O74" s="40">
        <f t="shared" si="17"/>
        <v>0</v>
      </c>
      <c r="P74" s="32"/>
      <c r="Q74" s="40">
        <f t="shared" si="15"/>
        <v>0</v>
      </c>
      <c r="R74" s="42">
        <f t="shared" si="18"/>
        <v>0</v>
      </c>
      <c r="S74" s="40">
        <f t="shared" si="19"/>
        <v>0</v>
      </c>
      <c r="T74" s="23">
        <f t="shared" si="12"/>
        <v>0</v>
      </c>
    </row>
    <row r="75" spans="2:22" x14ac:dyDescent="0.25">
      <c r="B75" s="24"/>
      <c r="C75" s="25"/>
      <c r="D75" s="25"/>
      <c r="E75" s="25"/>
      <c r="F75" s="25"/>
      <c r="G75" s="28"/>
      <c r="H75" s="29"/>
      <c r="I75" s="19"/>
      <c r="J75" s="43">
        <f t="shared" si="13"/>
        <v>0</v>
      </c>
      <c r="K75" s="31"/>
      <c r="L75" s="40">
        <f t="shared" si="14"/>
        <v>0</v>
      </c>
      <c r="M75" s="41">
        <f t="shared" si="16"/>
        <v>0</v>
      </c>
      <c r="N75" s="27"/>
      <c r="O75" s="40">
        <f t="shared" si="17"/>
        <v>0</v>
      </c>
      <c r="P75" s="32"/>
      <c r="Q75" s="40">
        <f t="shared" si="15"/>
        <v>0</v>
      </c>
      <c r="R75" s="42">
        <f t="shared" si="18"/>
        <v>0</v>
      </c>
      <c r="S75" s="40">
        <f t="shared" si="19"/>
        <v>0</v>
      </c>
      <c r="T75" s="23">
        <f t="shared" si="12"/>
        <v>0</v>
      </c>
    </row>
    <row r="76" spans="2:22" x14ac:dyDescent="0.25">
      <c r="B76" s="24"/>
      <c r="C76" s="25"/>
      <c r="D76" s="25"/>
      <c r="E76" s="25"/>
      <c r="F76" s="25"/>
      <c r="G76" s="28"/>
      <c r="H76" s="29"/>
      <c r="I76" s="19"/>
      <c r="J76" s="43">
        <f t="shared" si="13"/>
        <v>0</v>
      </c>
      <c r="K76" s="27"/>
      <c r="L76" s="40">
        <f t="shared" si="14"/>
        <v>0</v>
      </c>
      <c r="M76" s="41">
        <f t="shared" si="16"/>
        <v>0</v>
      </c>
      <c r="N76" s="27"/>
      <c r="O76" s="40">
        <f t="shared" si="17"/>
        <v>0</v>
      </c>
      <c r="P76" s="32"/>
      <c r="Q76" s="40">
        <f t="shared" si="15"/>
        <v>0</v>
      </c>
      <c r="R76" s="42">
        <f t="shared" si="18"/>
        <v>0</v>
      </c>
      <c r="S76" s="40">
        <f t="shared" si="19"/>
        <v>0</v>
      </c>
      <c r="T76" s="23">
        <f t="shared" si="12"/>
        <v>0</v>
      </c>
    </row>
    <row r="77" spans="2:22" x14ac:dyDescent="0.25">
      <c r="B77" s="24"/>
      <c r="C77" s="25"/>
      <c r="D77" s="25"/>
      <c r="E77" s="25"/>
      <c r="F77" s="25"/>
      <c r="G77" s="28"/>
      <c r="H77" s="29"/>
      <c r="I77" s="19"/>
      <c r="J77" s="43">
        <f t="shared" si="13"/>
        <v>0</v>
      </c>
      <c r="K77" s="27"/>
      <c r="L77" s="40">
        <f t="shared" si="14"/>
        <v>0</v>
      </c>
      <c r="M77" s="41">
        <f t="shared" si="16"/>
        <v>0</v>
      </c>
      <c r="N77" s="27"/>
      <c r="O77" s="40">
        <f t="shared" si="17"/>
        <v>0</v>
      </c>
      <c r="P77" s="32"/>
      <c r="Q77" s="40">
        <f t="shared" si="15"/>
        <v>0</v>
      </c>
      <c r="R77" s="42">
        <f t="shared" si="18"/>
        <v>0</v>
      </c>
      <c r="S77" s="40">
        <f t="shared" si="19"/>
        <v>0</v>
      </c>
      <c r="T77" s="23">
        <f t="shared" si="12"/>
        <v>0</v>
      </c>
    </row>
    <row r="78" spans="2:22" x14ac:dyDescent="0.25">
      <c r="B78" s="24"/>
      <c r="C78" s="25"/>
      <c r="D78" s="25"/>
      <c r="E78" s="25"/>
      <c r="F78" s="25"/>
      <c r="G78" s="28"/>
      <c r="H78" s="29"/>
      <c r="I78" s="19"/>
      <c r="J78" s="43">
        <f t="shared" si="13"/>
        <v>0</v>
      </c>
      <c r="K78" s="27"/>
      <c r="L78" s="40">
        <f t="shared" si="14"/>
        <v>0</v>
      </c>
      <c r="M78" s="41">
        <f t="shared" si="16"/>
        <v>0</v>
      </c>
      <c r="N78" s="27"/>
      <c r="O78" s="40">
        <f t="shared" si="17"/>
        <v>0</v>
      </c>
      <c r="P78" s="32"/>
      <c r="Q78" s="40">
        <f t="shared" si="15"/>
        <v>0</v>
      </c>
      <c r="R78" s="42">
        <f t="shared" si="18"/>
        <v>0</v>
      </c>
      <c r="S78" s="40">
        <f t="shared" si="19"/>
        <v>0</v>
      </c>
      <c r="T78" s="23">
        <f t="shared" si="12"/>
        <v>0</v>
      </c>
    </row>
    <row r="79" spans="2:22" x14ac:dyDescent="0.25">
      <c r="B79" s="24"/>
      <c r="C79" s="25"/>
      <c r="D79" s="25"/>
      <c r="E79" s="25"/>
      <c r="F79" s="25"/>
      <c r="G79" s="28"/>
      <c r="H79" s="29"/>
      <c r="I79" s="19"/>
      <c r="J79" s="43">
        <f t="shared" si="13"/>
        <v>0</v>
      </c>
      <c r="K79" s="27"/>
      <c r="L79" s="40">
        <f t="shared" si="14"/>
        <v>0</v>
      </c>
      <c r="M79" s="41">
        <f t="shared" si="16"/>
        <v>0</v>
      </c>
      <c r="N79" s="27"/>
      <c r="O79" s="40">
        <f t="shared" si="17"/>
        <v>0</v>
      </c>
      <c r="P79" s="32"/>
      <c r="Q79" s="40">
        <f t="shared" si="15"/>
        <v>0</v>
      </c>
      <c r="R79" s="42">
        <f t="shared" si="18"/>
        <v>0</v>
      </c>
      <c r="S79" s="40">
        <f t="shared" si="19"/>
        <v>0</v>
      </c>
      <c r="T79" s="23">
        <f t="shared" si="12"/>
        <v>0</v>
      </c>
    </row>
    <row r="80" spans="2:22" x14ac:dyDescent="0.25">
      <c r="B80" s="24"/>
      <c r="C80" s="25"/>
      <c r="D80" s="25"/>
      <c r="E80" s="25"/>
      <c r="F80" s="25"/>
      <c r="G80" s="28"/>
      <c r="H80" s="29"/>
      <c r="I80" s="19"/>
      <c r="J80" s="43">
        <f t="shared" si="13"/>
        <v>0</v>
      </c>
      <c r="K80" s="27"/>
      <c r="L80" s="40">
        <f t="shared" si="14"/>
        <v>0</v>
      </c>
      <c r="M80" s="41">
        <f t="shared" si="16"/>
        <v>0</v>
      </c>
      <c r="N80" s="27"/>
      <c r="O80" s="40">
        <f t="shared" si="17"/>
        <v>0</v>
      </c>
      <c r="P80" s="32"/>
      <c r="Q80" s="40">
        <f t="shared" si="15"/>
        <v>0</v>
      </c>
      <c r="R80" s="42">
        <f t="shared" si="18"/>
        <v>0</v>
      </c>
      <c r="S80" s="40">
        <f t="shared" si="19"/>
        <v>0</v>
      </c>
      <c r="T80" s="23">
        <f t="shared" si="12"/>
        <v>0</v>
      </c>
    </row>
    <row r="81" spans="1:21" x14ac:dyDescent="0.25">
      <c r="B81" s="24"/>
      <c r="C81" s="25"/>
      <c r="D81" s="25"/>
      <c r="E81" s="25"/>
      <c r="F81" s="25"/>
      <c r="G81" s="28"/>
      <c r="H81" s="29"/>
      <c r="I81" s="19"/>
      <c r="J81" s="43">
        <f t="shared" si="13"/>
        <v>0</v>
      </c>
      <c r="K81" s="27"/>
      <c r="L81" s="40">
        <f t="shared" si="14"/>
        <v>0</v>
      </c>
      <c r="M81" s="41">
        <f t="shared" si="16"/>
        <v>0</v>
      </c>
      <c r="N81" s="27"/>
      <c r="O81" s="40">
        <f t="shared" si="17"/>
        <v>0</v>
      </c>
      <c r="P81" s="32"/>
      <c r="Q81" s="40">
        <f t="shared" si="15"/>
        <v>0</v>
      </c>
      <c r="R81" s="42">
        <f t="shared" si="18"/>
        <v>0</v>
      </c>
      <c r="S81" s="40">
        <f t="shared" si="19"/>
        <v>0</v>
      </c>
      <c r="T81" s="23">
        <f t="shared" si="12"/>
        <v>0</v>
      </c>
    </row>
    <row r="82" spans="1:21" x14ac:dyDescent="0.25">
      <c r="B82" s="24"/>
      <c r="C82" s="25"/>
      <c r="D82" s="25"/>
      <c r="E82" s="25"/>
      <c r="F82" s="25"/>
      <c r="G82" s="28"/>
      <c r="H82" s="29"/>
      <c r="I82" s="19"/>
      <c r="J82" s="43">
        <f t="shared" si="13"/>
        <v>0</v>
      </c>
      <c r="K82" s="27"/>
      <c r="L82" s="40">
        <f t="shared" si="14"/>
        <v>0</v>
      </c>
      <c r="M82" s="41">
        <f t="shared" si="16"/>
        <v>0</v>
      </c>
      <c r="N82" s="27"/>
      <c r="O82" s="40">
        <f t="shared" si="17"/>
        <v>0</v>
      </c>
      <c r="P82" s="32"/>
      <c r="Q82" s="40">
        <f t="shared" si="15"/>
        <v>0</v>
      </c>
      <c r="R82" s="42">
        <f t="shared" si="18"/>
        <v>0</v>
      </c>
      <c r="S82" s="40">
        <f t="shared" si="19"/>
        <v>0</v>
      </c>
      <c r="T82" s="23">
        <f t="shared" si="12"/>
        <v>0</v>
      </c>
    </row>
    <row r="83" spans="1:21" x14ac:dyDescent="0.25">
      <c r="B83" s="24"/>
      <c r="C83" s="25"/>
      <c r="D83" s="25"/>
      <c r="E83" s="25"/>
      <c r="F83" s="25"/>
      <c r="G83" s="28"/>
      <c r="H83" s="29"/>
      <c r="I83" s="19"/>
      <c r="J83" s="43">
        <f t="shared" si="13"/>
        <v>0</v>
      </c>
      <c r="K83" s="27"/>
      <c r="L83" s="40">
        <f t="shared" si="14"/>
        <v>0</v>
      </c>
      <c r="M83" s="41">
        <f t="shared" si="16"/>
        <v>0</v>
      </c>
      <c r="N83" s="27"/>
      <c r="O83" s="40">
        <f t="shared" si="17"/>
        <v>0</v>
      </c>
      <c r="P83" s="32"/>
      <c r="Q83" s="40">
        <f t="shared" si="15"/>
        <v>0</v>
      </c>
      <c r="R83" s="42">
        <f t="shared" si="18"/>
        <v>0</v>
      </c>
      <c r="S83" s="40">
        <f t="shared" si="19"/>
        <v>0</v>
      </c>
      <c r="T83" s="23">
        <f t="shared" si="12"/>
        <v>0</v>
      </c>
    </row>
    <row r="84" spans="1:21" x14ac:dyDescent="0.25">
      <c r="B84" s="24"/>
      <c r="C84" s="25"/>
      <c r="D84" s="25"/>
      <c r="E84" s="25"/>
      <c r="F84" s="25"/>
      <c r="G84" s="28"/>
      <c r="H84" s="29"/>
      <c r="I84" s="19"/>
      <c r="J84" s="43">
        <f t="shared" si="13"/>
        <v>0</v>
      </c>
      <c r="K84" s="27"/>
      <c r="L84" s="40">
        <f t="shared" si="14"/>
        <v>0</v>
      </c>
      <c r="M84" s="41">
        <f t="shared" si="16"/>
        <v>0</v>
      </c>
      <c r="N84" s="27"/>
      <c r="O84" s="40">
        <f t="shared" si="17"/>
        <v>0</v>
      </c>
      <c r="P84" s="32"/>
      <c r="Q84" s="40">
        <f t="shared" si="15"/>
        <v>0</v>
      </c>
      <c r="R84" s="42">
        <f t="shared" si="18"/>
        <v>0</v>
      </c>
      <c r="S84" s="40">
        <f t="shared" si="19"/>
        <v>0</v>
      </c>
      <c r="T84" s="23">
        <f t="shared" si="12"/>
        <v>0</v>
      </c>
    </row>
    <row r="85" spans="1:21" x14ac:dyDescent="0.25">
      <c r="A85" s="36">
        <v>46057</v>
      </c>
      <c r="B85" s="24"/>
      <c r="C85" s="25"/>
      <c r="D85" s="25"/>
      <c r="E85" s="25"/>
      <c r="F85" s="25"/>
      <c r="G85" s="28"/>
      <c r="H85" s="29"/>
      <c r="I85" s="19"/>
      <c r="J85" s="43">
        <f t="shared" si="13"/>
        <v>0</v>
      </c>
      <c r="K85" s="31"/>
      <c r="L85" s="40">
        <f t="shared" si="14"/>
        <v>0</v>
      </c>
      <c r="M85" s="41">
        <f t="shared" si="16"/>
        <v>0</v>
      </c>
      <c r="N85" s="27"/>
      <c r="O85" s="40">
        <f t="shared" si="17"/>
        <v>0</v>
      </c>
      <c r="P85" s="32"/>
      <c r="Q85" s="40">
        <f t="shared" si="15"/>
        <v>0</v>
      </c>
      <c r="R85" s="42">
        <f t="shared" si="18"/>
        <v>0</v>
      </c>
      <c r="S85" s="40">
        <f t="shared" si="19"/>
        <v>0</v>
      </c>
      <c r="T85" s="23">
        <f t="shared" si="12"/>
        <v>0</v>
      </c>
    </row>
    <row r="86" spans="1:21" x14ac:dyDescent="0.25">
      <c r="B86" s="24"/>
      <c r="C86" s="25"/>
      <c r="D86" s="25"/>
      <c r="E86" s="25"/>
      <c r="F86" s="25"/>
      <c r="G86" s="28"/>
      <c r="H86" s="29"/>
      <c r="I86" s="19"/>
      <c r="J86" s="43">
        <f t="shared" si="13"/>
        <v>0</v>
      </c>
      <c r="K86" s="31"/>
      <c r="L86" s="40">
        <f t="shared" si="14"/>
        <v>0</v>
      </c>
      <c r="M86" s="41">
        <f t="shared" si="16"/>
        <v>0</v>
      </c>
      <c r="N86" s="27"/>
      <c r="O86" s="40">
        <f t="shared" si="17"/>
        <v>0</v>
      </c>
      <c r="P86" s="32"/>
      <c r="Q86" s="40">
        <f t="shared" si="15"/>
        <v>0</v>
      </c>
      <c r="R86" s="42">
        <f t="shared" si="18"/>
        <v>0</v>
      </c>
      <c r="S86" s="40">
        <f t="shared" si="19"/>
        <v>0</v>
      </c>
      <c r="T86" s="23">
        <f t="shared" si="12"/>
        <v>0</v>
      </c>
    </row>
    <row r="87" spans="1:21" x14ac:dyDescent="0.25">
      <c r="B87" s="24"/>
      <c r="C87" s="25"/>
      <c r="D87" s="25"/>
      <c r="E87" s="25"/>
      <c r="F87" s="25"/>
      <c r="G87" s="28"/>
      <c r="H87" s="29"/>
      <c r="I87" s="19"/>
      <c r="J87" s="43">
        <f t="shared" si="13"/>
        <v>0</v>
      </c>
      <c r="K87" s="31"/>
      <c r="L87" s="40">
        <f t="shared" si="14"/>
        <v>0</v>
      </c>
      <c r="M87" s="41">
        <f t="shared" si="16"/>
        <v>0</v>
      </c>
      <c r="N87" s="27"/>
      <c r="O87" s="40">
        <f t="shared" si="17"/>
        <v>0</v>
      </c>
      <c r="P87" s="32"/>
      <c r="Q87" s="40">
        <f t="shared" si="15"/>
        <v>0</v>
      </c>
      <c r="R87" s="42">
        <f t="shared" si="18"/>
        <v>0</v>
      </c>
      <c r="S87" s="40">
        <f t="shared" si="19"/>
        <v>0</v>
      </c>
      <c r="T87" s="23">
        <f t="shared" si="12"/>
        <v>0</v>
      </c>
    </row>
    <row r="88" spans="1:21" x14ac:dyDescent="0.25">
      <c r="B88" s="24"/>
      <c r="C88" s="25"/>
      <c r="D88" s="25"/>
      <c r="E88" s="25"/>
      <c r="F88" s="25"/>
      <c r="G88" s="28"/>
      <c r="H88" s="29"/>
      <c r="I88" s="19"/>
      <c r="J88" s="43">
        <f t="shared" si="13"/>
        <v>0</v>
      </c>
      <c r="K88" s="31"/>
      <c r="L88" s="40">
        <f t="shared" si="14"/>
        <v>0</v>
      </c>
      <c r="M88" s="41">
        <f t="shared" si="16"/>
        <v>0</v>
      </c>
      <c r="N88" s="27"/>
      <c r="O88" s="40">
        <f t="shared" si="17"/>
        <v>0</v>
      </c>
      <c r="P88" s="32"/>
      <c r="Q88" s="40">
        <f t="shared" si="15"/>
        <v>0</v>
      </c>
      <c r="R88" s="42">
        <f t="shared" si="18"/>
        <v>0</v>
      </c>
      <c r="S88" s="40">
        <f t="shared" si="19"/>
        <v>0</v>
      </c>
      <c r="T88" s="23">
        <f t="shared" si="12"/>
        <v>0</v>
      </c>
    </row>
    <row r="89" spans="1:21" x14ac:dyDescent="0.25">
      <c r="B89" s="24"/>
      <c r="C89" s="25"/>
      <c r="D89" s="25"/>
      <c r="E89" s="25"/>
      <c r="F89" s="25"/>
      <c r="G89" s="28"/>
      <c r="H89" s="29"/>
      <c r="I89" s="19"/>
      <c r="J89" s="43">
        <f t="shared" si="13"/>
        <v>0</v>
      </c>
      <c r="K89" s="31"/>
      <c r="L89" s="40">
        <f t="shared" si="14"/>
        <v>0</v>
      </c>
      <c r="M89" s="41">
        <f t="shared" si="16"/>
        <v>0</v>
      </c>
      <c r="N89" s="27"/>
      <c r="O89" s="40">
        <f t="shared" si="17"/>
        <v>0</v>
      </c>
      <c r="P89" s="32"/>
      <c r="Q89" s="40">
        <f t="shared" si="15"/>
        <v>0</v>
      </c>
      <c r="R89" s="42">
        <f t="shared" si="18"/>
        <v>0</v>
      </c>
      <c r="S89" s="40">
        <f t="shared" si="19"/>
        <v>0</v>
      </c>
      <c r="T89" s="23">
        <f t="shared" si="12"/>
        <v>0</v>
      </c>
    </row>
    <row r="90" spans="1:21" x14ac:dyDescent="0.25">
      <c r="B90" s="24"/>
      <c r="C90" s="25"/>
      <c r="D90" s="25"/>
      <c r="E90" s="25"/>
      <c r="F90" s="25"/>
      <c r="G90" s="28"/>
      <c r="H90" s="29"/>
      <c r="I90" s="19"/>
      <c r="J90" s="43">
        <f t="shared" si="13"/>
        <v>0</v>
      </c>
      <c r="K90" s="31"/>
      <c r="L90" s="40">
        <f t="shared" si="14"/>
        <v>0</v>
      </c>
      <c r="M90" s="41">
        <f t="shared" si="16"/>
        <v>0</v>
      </c>
      <c r="N90" s="27"/>
      <c r="O90" s="40">
        <f t="shared" si="17"/>
        <v>0</v>
      </c>
      <c r="P90" s="32"/>
      <c r="Q90" s="40">
        <f t="shared" si="15"/>
        <v>0</v>
      </c>
      <c r="R90" s="42">
        <f t="shared" si="18"/>
        <v>0</v>
      </c>
      <c r="S90" s="40">
        <f t="shared" si="19"/>
        <v>0</v>
      </c>
      <c r="T90" s="23">
        <f t="shared" si="12"/>
        <v>0</v>
      </c>
    </row>
    <row r="91" spans="1:21" x14ac:dyDescent="0.25">
      <c r="B91" s="24"/>
      <c r="C91" s="25"/>
      <c r="D91" s="25"/>
      <c r="E91" s="25"/>
      <c r="F91" s="25"/>
      <c r="G91" s="28"/>
      <c r="H91" s="29"/>
      <c r="I91" s="19"/>
      <c r="J91" s="43">
        <f t="shared" si="13"/>
        <v>0</v>
      </c>
      <c r="K91" s="27"/>
      <c r="L91" s="40">
        <f t="shared" si="14"/>
        <v>0</v>
      </c>
      <c r="M91" s="41">
        <f t="shared" si="16"/>
        <v>0</v>
      </c>
      <c r="N91" s="27"/>
      <c r="O91" s="40">
        <f t="shared" si="17"/>
        <v>0</v>
      </c>
      <c r="P91" s="32"/>
      <c r="Q91" s="40">
        <f t="shared" si="15"/>
        <v>0</v>
      </c>
      <c r="R91" s="42">
        <f t="shared" si="18"/>
        <v>0</v>
      </c>
      <c r="S91" s="40">
        <f t="shared" si="19"/>
        <v>0</v>
      </c>
      <c r="T91" s="23">
        <f t="shared" si="12"/>
        <v>0</v>
      </c>
    </row>
    <row r="92" spans="1:21" x14ac:dyDescent="0.25">
      <c r="B92" s="24"/>
      <c r="C92" s="25"/>
      <c r="D92" s="25"/>
      <c r="E92" s="25"/>
      <c r="F92" s="25"/>
      <c r="G92" s="28"/>
      <c r="H92" s="29"/>
      <c r="I92" s="19"/>
      <c r="J92" s="43">
        <f t="shared" si="13"/>
        <v>0</v>
      </c>
      <c r="K92" s="31"/>
      <c r="L92" s="40">
        <f t="shared" si="14"/>
        <v>0</v>
      </c>
      <c r="M92" s="41">
        <f t="shared" si="16"/>
        <v>0</v>
      </c>
      <c r="N92" s="27"/>
      <c r="O92" s="40">
        <f t="shared" si="17"/>
        <v>0</v>
      </c>
      <c r="P92" s="32"/>
      <c r="Q92" s="40">
        <f t="shared" si="15"/>
        <v>0</v>
      </c>
      <c r="R92" s="42">
        <f t="shared" si="18"/>
        <v>0</v>
      </c>
      <c r="S92" s="40">
        <f t="shared" si="19"/>
        <v>0</v>
      </c>
      <c r="T92" s="23">
        <f t="shared" si="12"/>
        <v>0</v>
      </c>
    </row>
    <row r="93" spans="1:21" x14ac:dyDescent="0.25">
      <c r="B93" s="24"/>
      <c r="C93" s="25"/>
      <c r="D93" s="25"/>
      <c r="E93" s="25"/>
      <c r="F93" s="25"/>
      <c r="G93" s="28"/>
      <c r="H93" s="29"/>
      <c r="I93" s="19"/>
      <c r="J93" s="43">
        <f t="shared" si="13"/>
        <v>0</v>
      </c>
      <c r="K93" s="31"/>
      <c r="L93" s="40">
        <f t="shared" si="14"/>
        <v>0</v>
      </c>
      <c r="M93" s="41">
        <f t="shared" si="16"/>
        <v>0</v>
      </c>
      <c r="N93" s="27"/>
      <c r="O93" s="40">
        <f t="shared" si="17"/>
        <v>0</v>
      </c>
      <c r="P93" s="32"/>
      <c r="Q93" s="40">
        <f t="shared" si="15"/>
        <v>0</v>
      </c>
      <c r="R93" s="42">
        <f t="shared" si="18"/>
        <v>0</v>
      </c>
      <c r="S93" s="40">
        <f t="shared" si="19"/>
        <v>0</v>
      </c>
      <c r="T93" s="23">
        <f t="shared" si="12"/>
        <v>0</v>
      </c>
    </row>
    <row r="94" spans="1:21" s="2" customFormat="1" x14ac:dyDescent="0.25">
      <c r="B94" s="24"/>
      <c r="C94" s="25"/>
      <c r="D94" s="25"/>
      <c r="E94" s="25"/>
      <c r="F94" s="25"/>
      <c r="G94" s="28"/>
      <c r="H94" s="29"/>
      <c r="I94" s="19"/>
      <c r="J94" s="43">
        <f t="shared" si="13"/>
        <v>0</v>
      </c>
      <c r="K94" s="31"/>
      <c r="L94" s="40">
        <f t="shared" si="14"/>
        <v>0</v>
      </c>
      <c r="M94" s="41">
        <f t="shared" si="16"/>
        <v>0</v>
      </c>
      <c r="N94" s="27"/>
      <c r="O94" s="40">
        <f t="shared" si="17"/>
        <v>0</v>
      </c>
      <c r="P94" s="32"/>
      <c r="Q94" s="40">
        <f t="shared" si="15"/>
        <v>0</v>
      </c>
      <c r="R94" s="42">
        <f t="shared" si="18"/>
        <v>0</v>
      </c>
      <c r="S94" s="40">
        <f t="shared" si="19"/>
        <v>0</v>
      </c>
      <c r="T94" s="23">
        <f t="shared" si="12"/>
        <v>0</v>
      </c>
      <c r="U94" s="11"/>
    </row>
    <row r="95" spans="1:21" x14ac:dyDescent="0.25">
      <c r="B95" s="24"/>
      <c r="C95" s="25"/>
      <c r="D95" s="25"/>
      <c r="E95" s="25"/>
      <c r="F95" s="25"/>
      <c r="G95" s="28"/>
      <c r="H95" s="29"/>
      <c r="I95" s="19"/>
      <c r="J95" s="43">
        <f t="shared" si="13"/>
        <v>0</v>
      </c>
      <c r="K95" s="31"/>
      <c r="L95" s="40">
        <f t="shared" si="14"/>
        <v>0</v>
      </c>
      <c r="M95" s="41">
        <f t="shared" si="16"/>
        <v>0</v>
      </c>
      <c r="N95" s="27"/>
      <c r="O95" s="40">
        <f t="shared" si="17"/>
        <v>0</v>
      </c>
      <c r="P95" s="32"/>
      <c r="Q95" s="40">
        <f t="shared" si="15"/>
        <v>0</v>
      </c>
      <c r="R95" s="42">
        <f t="shared" si="18"/>
        <v>0</v>
      </c>
      <c r="S95" s="40">
        <f t="shared" si="19"/>
        <v>0</v>
      </c>
      <c r="T95" s="23">
        <f t="shared" si="12"/>
        <v>0</v>
      </c>
    </row>
    <row r="96" spans="1:21" x14ac:dyDescent="0.25">
      <c r="B96" s="24"/>
      <c r="C96" s="25"/>
      <c r="D96" s="25"/>
      <c r="E96" s="25"/>
      <c r="F96" s="25"/>
      <c r="G96" s="28"/>
      <c r="H96" s="29"/>
      <c r="I96" s="19"/>
      <c r="J96" s="43">
        <f t="shared" si="13"/>
        <v>0</v>
      </c>
      <c r="K96" s="31"/>
      <c r="L96" s="40">
        <f t="shared" si="14"/>
        <v>0</v>
      </c>
      <c r="M96" s="41">
        <f t="shared" si="16"/>
        <v>0</v>
      </c>
      <c r="N96" s="27"/>
      <c r="O96" s="40">
        <f t="shared" si="17"/>
        <v>0</v>
      </c>
      <c r="P96" s="32"/>
      <c r="Q96" s="40">
        <f t="shared" si="15"/>
        <v>0</v>
      </c>
      <c r="R96" s="42">
        <f t="shared" si="18"/>
        <v>0</v>
      </c>
      <c r="S96" s="40">
        <f t="shared" si="19"/>
        <v>0</v>
      </c>
      <c r="T96" s="23">
        <f t="shared" si="12"/>
        <v>0</v>
      </c>
    </row>
    <row r="97" spans="2:20" x14ac:dyDescent="0.25">
      <c r="B97" s="24"/>
      <c r="C97" s="25"/>
      <c r="D97" s="25"/>
      <c r="E97" s="25"/>
      <c r="F97" s="25"/>
      <c r="G97" s="28"/>
      <c r="H97" s="29"/>
      <c r="I97" s="19"/>
      <c r="J97" s="43">
        <f t="shared" si="13"/>
        <v>0</v>
      </c>
      <c r="K97" s="31"/>
      <c r="L97" s="40">
        <f t="shared" si="14"/>
        <v>0</v>
      </c>
      <c r="M97" s="41">
        <f t="shared" si="16"/>
        <v>0</v>
      </c>
      <c r="N97" s="27"/>
      <c r="O97" s="40">
        <f t="shared" si="17"/>
        <v>0</v>
      </c>
      <c r="P97" s="32"/>
      <c r="Q97" s="40">
        <f t="shared" si="15"/>
        <v>0</v>
      </c>
      <c r="R97" s="42">
        <f t="shared" si="18"/>
        <v>0</v>
      </c>
      <c r="S97" s="40">
        <f t="shared" si="19"/>
        <v>0</v>
      </c>
      <c r="T97" s="23">
        <f t="shared" si="12"/>
        <v>0</v>
      </c>
    </row>
    <row r="98" spans="2:20" x14ac:dyDescent="0.25">
      <c r="B98" s="24"/>
      <c r="C98" s="25"/>
      <c r="D98" s="25"/>
      <c r="E98" s="25"/>
      <c r="F98" s="25"/>
      <c r="G98" s="28"/>
      <c r="H98" s="29"/>
      <c r="I98" s="19"/>
      <c r="J98" s="43">
        <f t="shared" si="13"/>
        <v>0</v>
      </c>
      <c r="K98" s="31"/>
      <c r="L98" s="40">
        <f t="shared" si="14"/>
        <v>0</v>
      </c>
      <c r="M98" s="41">
        <f t="shared" si="16"/>
        <v>0</v>
      </c>
      <c r="N98" s="27"/>
      <c r="O98" s="40">
        <f t="shared" si="17"/>
        <v>0</v>
      </c>
      <c r="P98" s="32"/>
      <c r="Q98" s="40">
        <f t="shared" si="15"/>
        <v>0</v>
      </c>
      <c r="R98" s="42">
        <f t="shared" si="18"/>
        <v>0</v>
      </c>
      <c r="S98" s="40">
        <f t="shared" si="19"/>
        <v>0</v>
      </c>
      <c r="T98" s="23">
        <f t="shared" si="12"/>
        <v>0</v>
      </c>
    </row>
    <row r="99" spans="2:20" x14ac:dyDescent="0.25">
      <c r="B99" s="24"/>
      <c r="C99" s="25"/>
      <c r="D99" s="25"/>
      <c r="E99" s="25"/>
      <c r="F99" s="25"/>
      <c r="G99" s="28"/>
      <c r="H99" s="29"/>
      <c r="I99" s="19"/>
      <c r="J99" s="43">
        <f t="shared" si="13"/>
        <v>0</v>
      </c>
      <c r="K99" s="31"/>
      <c r="L99" s="40">
        <f t="shared" si="14"/>
        <v>0</v>
      </c>
      <c r="M99" s="41">
        <f t="shared" si="16"/>
        <v>0</v>
      </c>
      <c r="N99" s="27"/>
      <c r="O99" s="40">
        <f t="shared" si="17"/>
        <v>0</v>
      </c>
      <c r="P99" s="32"/>
      <c r="Q99" s="40">
        <f t="shared" si="15"/>
        <v>0</v>
      </c>
      <c r="R99" s="42">
        <f t="shared" si="18"/>
        <v>0</v>
      </c>
      <c r="S99" s="40">
        <f t="shared" si="19"/>
        <v>0</v>
      </c>
      <c r="T99" s="23">
        <f t="shared" si="12"/>
        <v>0</v>
      </c>
    </row>
    <row r="100" spans="2:20" x14ac:dyDescent="0.25">
      <c r="B100" s="24"/>
      <c r="C100" s="25"/>
      <c r="D100" s="25"/>
      <c r="E100" s="25"/>
      <c r="F100" s="25"/>
      <c r="G100" s="28"/>
      <c r="H100" s="29"/>
      <c r="I100" s="19"/>
      <c r="J100" s="43">
        <f t="shared" si="13"/>
        <v>0</v>
      </c>
      <c r="K100" s="31"/>
      <c r="L100" s="40">
        <f t="shared" si="14"/>
        <v>0</v>
      </c>
      <c r="M100" s="41">
        <f t="shared" ref="M100:M105" si="20">K100*H100</f>
        <v>0</v>
      </c>
      <c r="N100" s="27"/>
      <c r="O100" s="40">
        <f t="shared" ref="O100:O105" si="21">IF(H100="",0,M100-N100)</f>
        <v>0</v>
      </c>
      <c r="P100" s="32"/>
      <c r="Q100" s="40">
        <f t="shared" si="15"/>
        <v>0</v>
      </c>
      <c r="R100" s="42">
        <f t="shared" ref="R100:R105" si="22">IF(J100=0,O100-Q100,0)</f>
        <v>0</v>
      </c>
      <c r="S100" s="40">
        <f t="shared" ref="S100:S105" si="23">IF(J100=0,0,(J100*K100)-N100-(J100*K100-N100)*P100)</f>
        <v>0</v>
      </c>
      <c r="T100" s="23">
        <f t="shared" si="12"/>
        <v>0</v>
      </c>
    </row>
    <row r="101" spans="2:20" x14ac:dyDescent="0.25">
      <c r="B101" s="24"/>
      <c r="C101" s="25"/>
      <c r="D101" s="25"/>
      <c r="E101" s="25"/>
      <c r="F101" s="25"/>
      <c r="G101" s="28"/>
      <c r="H101" s="29"/>
      <c r="I101" s="19"/>
      <c r="J101" s="43">
        <f t="shared" si="13"/>
        <v>0</v>
      </c>
      <c r="K101" s="31"/>
      <c r="L101" s="40">
        <f t="shared" si="14"/>
        <v>0</v>
      </c>
      <c r="M101" s="41">
        <f t="shared" si="20"/>
        <v>0</v>
      </c>
      <c r="N101" s="27"/>
      <c r="O101" s="40">
        <f t="shared" si="21"/>
        <v>0</v>
      </c>
      <c r="P101" s="32"/>
      <c r="Q101" s="40">
        <f t="shared" si="15"/>
        <v>0</v>
      </c>
      <c r="R101" s="42">
        <f t="shared" si="22"/>
        <v>0</v>
      </c>
      <c r="S101" s="40">
        <f t="shared" si="23"/>
        <v>0</v>
      </c>
      <c r="T101" s="23">
        <f t="shared" si="12"/>
        <v>0</v>
      </c>
    </row>
    <row r="102" spans="2:20" x14ac:dyDescent="0.25">
      <c r="B102" s="24"/>
      <c r="C102" s="25"/>
      <c r="D102" s="25"/>
      <c r="E102" s="25"/>
      <c r="F102" s="25"/>
      <c r="G102" s="28"/>
      <c r="H102" s="29"/>
      <c r="I102" s="19"/>
      <c r="J102" s="43">
        <f t="shared" si="13"/>
        <v>0</v>
      </c>
      <c r="K102" s="31"/>
      <c r="L102" s="40">
        <f t="shared" si="14"/>
        <v>0</v>
      </c>
      <c r="M102" s="41">
        <f t="shared" si="20"/>
        <v>0</v>
      </c>
      <c r="N102" s="27"/>
      <c r="O102" s="40">
        <f t="shared" si="21"/>
        <v>0</v>
      </c>
      <c r="P102" s="32"/>
      <c r="Q102" s="40">
        <f t="shared" si="15"/>
        <v>0</v>
      </c>
      <c r="R102" s="42">
        <f t="shared" si="22"/>
        <v>0</v>
      </c>
      <c r="S102" s="40">
        <f t="shared" si="23"/>
        <v>0</v>
      </c>
      <c r="T102" s="23">
        <f t="shared" si="12"/>
        <v>0</v>
      </c>
    </row>
    <row r="103" spans="2:20" x14ac:dyDescent="0.25">
      <c r="B103" s="24"/>
      <c r="C103" s="25"/>
      <c r="D103" s="25"/>
      <c r="E103" s="25"/>
      <c r="F103" s="25"/>
      <c r="G103" s="28"/>
      <c r="H103" s="29"/>
      <c r="I103" s="19"/>
      <c r="J103" s="43">
        <f t="shared" si="13"/>
        <v>0</v>
      </c>
      <c r="K103" s="27"/>
      <c r="L103" s="40">
        <f t="shared" si="14"/>
        <v>0</v>
      </c>
      <c r="M103" s="41">
        <f t="shared" si="20"/>
        <v>0</v>
      </c>
      <c r="N103" s="27"/>
      <c r="O103" s="40">
        <f t="shared" si="21"/>
        <v>0</v>
      </c>
      <c r="P103" s="32"/>
      <c r="Q103" s="40">
        <f t="shared" si="15"/>
        <v>0</v>
      </c>
      <c r="R103" s="42">
        <f t="shared" si="22"/>
        <v>0</v>
      </c>
      <c r="S103" s="40">
        <f t="shared" si="23"/>
        <v>0</v>
      </c>
      <c r="T103" s="23">
        <f t="shared" si="12"/>
        <v>0</v>
      </c>
    </row>
    <row r="104" spans="2:20" x14ac:dyDescent="0.25">
      <c r="B104" s="24"/>
      <c r="C104" s="25"/>
      <c r="D104" s="25"/>
      <c r="E104" s="25"/>
      <c r="F104" s="25"/>
      <c r="G104" s="28"/>
      <c r="H104" s="29"/>
      <c r="I104" s="19"/>
      <c r="J104" s="43">
        <f t="shared" si="13"/>
        <v>0</v>
      </c>
      <c r="K104" s="31"/>
      <c r="L104" s="40">
        <f t="shared" si="14"/>
        <v>0</v>
      </c>
      <c r="M104" s="41">
        <f t="shared" si="20"/>
        <v>0</v>
      </c>
      <c r="N104" s="27"/>
      <c r="O104" s="40">
        <f t="shared" si="21"/>
        <v>0</v>
      </c>
      <c r="P104" s="32"/>
      <c r="Q104" s="40">
        <f t="shared" si="15"/>
        <v>0</v>
      </c>
      <c r="R104" s="42">
        <f t="shared" si="22"/>
        <v>0</v>
      </c>
      <c r="S104" s="40">
        <f t="shared" si="23"/>
        <v>0</v>
      </c>
      <c r="T104" s="23">
        <f t="shared" si="12"/>
        <v>0</v>
      </c>
    </row>
    <row r="105" spans="2:20" x14ac:dyDescent="0.25">
      <c r="B105" s="25"/>
      <c r="C105" s="25"/>
      <c r="D105" s="25"/>
      <c r="E105" s="25"/>
      <c r="F105" s="25"/>
      <c r="G105" s="28"/>
      <c r="H105" s="29"/>
      <c r="I105" s="19"/>
      <c r="J105" s="43">
        <f t="shared" si="13"/>
        <v>0</v>
      </c>
      <c r="K105" s="31"/>
      <c r="L105" s="40">
        <f t="shared" si="14"/>
        <v>0</v>
      </c>
      <c r="M105" s="41">
        <f t="shared" si="20"/>
        <v>0</v>
      </c>
      <c r="N105" s="27"/>
      <c r="O105" s="40">
        <f t="shared" si="21"/>
        <v>0</v>
      </c>
      <c r="P105" s="27"/>
      <c r="Q105" s="40">
        <f t="shared" si="15"/>
        <v>0</v>
      </c>
      <c r="R105" s="42">
        <f t="shared" si="22"/>
        <v>0</v>
      </c>
      <c r="S105" s="40">
        <f t="shared" si="23"/>
        <v>0</v>
      </c>
      <c r="T105" s="23">
        <f t="shared" si="12"/>
        <v>0</v>
      </c>
    </row>
  </sheetData>
  <conditionalFormatting sqref="R4:R105">
    <cfRule type="expression" dxfId="2" priority="1">
      <formula>IF($J4&gt;0,TRUE,FALSE)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DE71B-B4DE-46F0-B853-4D73D3E1167B}">
  <dimension ref="A2:AC104"/>
  <sheetViews>
    <sheetView zoomScale="80" zoomScaleNormal="80" workbookViewId="0">
      <selection activeCell="S7" sqref="S7"/>
    </sheetView>
  </sheetViews>
  <sheetFormatPr baseColWidth="10" defaultColWidth="11.42578125" defaultRowHeight="15" x14ac:dyDescent="0.25"/>
  <cols>
    <col min="1" max="1" width="1.42578125" style="1" customWidth="1"/>
    <col min="2" max="2" width="11.28515625" style="1" bestFit="1" customWidth="1"/>
    <col min="3" max="3" width="11.42578125" style="1"/>
    <col min="4" max="4" width="9.7109375" style="1" bestFit="1" customWidth="1"/>
    <col min="5" max="5" width="25.140625" style="1" bestFit="1" customWidth="1"/>
    <col min="6" max="6" width="9.85546875" style="1" customWidth="1"/>
    <col min="7" max="7" width="11.42578125" style="1"/>
    <col min="8" max="8" width="11.140625" style="1" bestFit="1" customWidth="1"/>
    <col min="9" max="9" width="8" style="1" bestFit="1" customWidth="1"/>
    <col min="10" max="10" width="14.85546875" style="1" bestFit="1" customWidth="1"/>
    <col min="11" max="11" width="9.7109375" style="11" bestFit="1" customWidth="1"/>
    <col min="12" max="12" width="10.5703125" style="11" bestFit="1" customWidth="1"/>
    <col min="13" max="13" width="16" style="11" bestFit="1" customWidth="1"/>
    <col min="14" max="14" width="13.5703125" style="11" bestFit="1" customWidth="1"/>
    <col min="15" max="15" width="16" style="11" bestFit="1" customWidth="1"/>
    <col min="16" max="16" width="10.7109375" style="11" bestFit="1" customWidth="1"/>
    <col min="17" max="17" width="14.7109375" style="11" bestFit="1" customWidth="1"/>
    <col min="18" max="18" width="16" style="1" bestFit="1" customWidth="1"/>
    <col min="19" max="19" width="14.85546875" style="1" bestFit="1" customWidth="1"/>
    <col min="20" max="20" width="16" style="1" bestFit="1" customWidth="1"/>
    <col min="21" max="21" width="44.42578125" style="11" bestFit="1" customWidth="1"/>
    <col min="22" max="22" width="15.85546875" style="1" bestFit="1" customWidth="1"/>
    <col min="23" max="23" width="12.140625" style="1" bestFit="1" customWidth="1"/>
    <col min="24" max="25" width="11.42578125" style="1"/>
    <col min="26" max="26" width="16" style="1" customWidth="1"/>
    <col min="27" max="27" width="16.7109375" style="1" customWidth="1"/>
    <col min="28" max="16384" width="11.42578125" style="1"/>
  </cols>
  <sheetData>
    <row r="2" spans="2:22" ht="15.75" thickBot="1" x14ac:dyDescent="0.3">
      <c r="C2" s="2"/>
      <c r="D2" s="45"/>
      <c r="E2" s="2"/>
      <c r="F2" s="3" t="s">
        <v>0</v>
      </c>
      <c r="G2" s="4">
        <f>SUM(G4:G494)</f>
        <v>33</v>
      </c>
      <c r="H2" s="5">
        <f>SUM(H4:H494)</f>
        <v>33</v>
      </c>
      <c r="I2" s="6">
        <f>SUM(I4:I494)</f>
        <v>0</v>
      </c>
      <c r="J2" s="7">
        <f>SUM(J4:J494)</f>
        <v>0</v>
      </c>
      <c r="K2" s="8">
        <f>R2/H2</f>
        <v>228.54545454545453</v>
      </c>
      <c r="L2" s="8">
        <f>O2/(G2*17)</f>
        <v>14.937611408199643</v>
      </c>
      <c r="M2" s="8">
        <f>SUM(M4:M494)</f>
        <v>8380</v>
      </c>
      <c r="N2" s="8">
        <f>SUM(N4:N494)</f>
        <v>0</v>
      </c>
      <c r="O2" s="8">
        <f>SUM(O4:O494)</f>
        <v>8380</v>
      </c>
      <c r="P2" s="9">
        <f>Q2/O2</f>
        <v>0.1</v>
      </c>
      <c r="Q2" s="8">
        <f>SUM(Q4:Q494)</f>
        <v>838</v>
      </c>
      <c r="R2" s="10">
        <f>SUM(R4:R494)</f>
        <v>7542</v>
      </c>
      <c r="S2" s="10">
        <f>SUM(S4:S494)</f>
        <v>0</v>
      </c>
      <c r="T2" s="10">
        <f>SUM(T4:T494)</f>
        <v>7542</v>
      </c>
      <c r="V2" s="12"/>
    </row>
    <row r="3" spans="2:22" ht="15.75" thickBot="1" x14ac:dyDescent="0.3">
      <c r="B3" s="13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4" t="s">
        <v>6</v>
      </c>
      <c r="H3" s="14" t="s">
        <v>7</v>
      </c>
      <c r="I3" s="14" t="s">
        <v>8</v>
      </c>
      <c r="J3" s="14" t="s">
        <v>9</v>
      </c>
      <c r="K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6" t="s">
        <v>17</v>
      </c>
      <c r="S3" s="17" t="s">
        <v>18</v>
      </c>
      <c r="T3" s="17" t="s">
        <v>19</v>
      </c>
    </row>
    <row r="4" spans="2:22" x14ac:dyDescent="0.25">
      <c r="B4" s="18">
        <v>46139</v>
      </c>
      <c r="C4" s="19">
        <v>24</v>
      </c>
      <c r="D4" s="19" t="s">
        <v>20</v>
      </c>
      <c r="E4" s="19" t="s">
        <v>32</v>
      </c>
      <c r="F4" s="19" t="s">
        <v>33</v>
      </c>
      <c r="G4" s="20">
        <v>10</v>
      </c>
      <c r="H4" s="20">
        <v>10</v>
      </c>
      <c r="I4" s="44"/>
      <c r="J4" s="43">
        <f>G4-H4-I4</f>
        <v>0</v>
      </c>
      <c r="K4" s="21">
        <v>240</v>
      </c>
      <c r="L4" s="40">
        <f>O4/H4/17</f>
        <v>14.117647058823529</v>
      </c>
      <c r="M4" s="40">
        <f t="shared" ref="M4:M67" si="0">K4*H4</f>
        <v>2400</v>
      </c>
      <c r="N4" s="21">
        <v>0</v>
      </c>
      <c r="O4" s="40">
        <f t="shared" ref="O4:O67" si="1">IF(H4="",0,M4-N4)</f>
        <v>2400</v>
      </c>
      <c r="P4" s="22">
        <v>0.1</v>
      </c>
      <c r="Q4" s="40">
        <f>O4*P4</f>
        <v>240</v>
      </c>
      <c r="R4" s="42">
        <f t="shared" ref="R4:R67" si="2">IF(J4=0,O4-Q4,0)</f>
        <v>2160</v>
      </c>
      <c r="S4" s="40">
        <f t="shared" ref="S4:S67" si="3">IF(J4=0,0,(J4*K4)-N4-(J4*K4-N4)*P4)</f>
        <v>0</v>
      </c>
      <c r="T4" s="23">
        <f t="shared" ref="T4:T67" si="4">R4+S4</f>
        <v>2160</v>
      </c>
    </row>
    <row r="5" spans="2:22" x14ac:dyDescent="0.25">
      <c r="B5" s="24">
        <v>46151</v>
      </c>
      <c r="C5" s="25">
        <v>40</v>
      </c>
      <c r="D5" s="25" t="s">
        <v>20</v>
      </c>
      <c r="E5" s="25" t="s">
        <v>23</v>
      </c>
      <c r="F5" s="25" t="s">
        <v>33</v>
      </c>
      <c r="G5" s="26">
        <v>23</v>
      </c>
      <c r="H5" s="20">
        <v>23</v>
      </c>
      <c r="I5" s="44"/>
      <c r="J5" s="43">
        <f t="shared" ref="J5:J68" si="5">G5-H5-I5</f>
        <v>0</v>
      </c>
      <c r="K5" s="27">
        <v>260</v>
      </c>
      <c r="L5" s="40">
        <f t="shared" ref="L5:L68" si="6">K5/17</f>
        <v>15.294117647058824</v>
      </c>
      <c r="M5" s="41">
        <f t="shared" si="0"/>
        <v>5980</v>
      </c>
      <c r="N5" s="27">
        <v>0</v>
      </c>
      <c r="O5" s="40">
        <f t="shared" si="1"/>
        <v>5980</v>
      </c>
      <c r="P5" s="22">
        <v>0.1</v>
      </c>
      <c r="Q5" s="40">
        <f t="shared" ref="Q5:Q68" si="7">O5*P5</f>
        <v>598</v>
      </c>
      <c r="R5" s="42">
        <f t="shared" si="2"/>
        <v>5382</v>
      </c>
      <c r="S5" s="40">
        <f t="shared" si="3"/>
        <v>0</v>
      </c>
      <c r="T5" s="23">
        <f t="shared" si="4"/>
        <v>5382</v>
      </c>
    </row>
    <row r="6" spans="2:22" x14ac:dyDescent="0.25">
      <c r="B6" s="24"/>
      <c r="C6" s="25"/>
      <c r="D6" s="25"/>
      <c r="E6" s="25"/>
      <c r="F6" s="25"/>
      <c r="G6" s="26"/>
      <c r="H6" s="20"/>
      <c r="I6" s="44"/>
      <c r="J6" s="43">
        <f t="shared" si="5"/>
        <v>0</v>
      </c>
      <c r="K6" s="27"/>
      <c r="L6" s="40">
        <f t="shared" si="6"/>
        <v>0</v>
      </c>
      <c r="M6" s="41">
        <f t="shared" si="0"/>
        <v>0</v>
      </c>
      <c r="N6" s="27">
        <v>0</v>
      </c>
      <c r="O6" s="40">
        <f t="shared" si="1"/>
        <v>0</v>
      </c>
      <c r="P6" s="22"/>
      <c r="Q6" s="40">
        <f t="shared" si="7"/>
        <v>0</v>
      </c>
      <c r="R6" s="42">
        <f t="shared" si="2"/>
        <v>0</v>
      </c>
      <c r="S6" s="40">
        <f t="shared" si="3"/>
        <v>0</v>
      </c>
      <c r="T6" s="23">
        <f t="shared" si="4"/>
        <v>0</v>
      </c>
    </row>
    <row r="7" spans="2:22" x14ac:dyDescent="0.25">
      <c r="B7" s="24"/>
      <c r="C7" s="25"/>
      <c r="D7" s="25"/>
      <c r="E7" s="25"/>
      <c r="F7" s="25"/>
      <c r="G7" s="26"/>
      <c r="H7" s="20"/>
      <c r="I7" s="44"/>
      <c r="J7" s="43">
        <f t="shared" si="5"/>
        <v>0</v>
      </c>
      <c r="K7" s="27"/>
      <c r="L7" s="40">
        <f t="shared" si="6"/>
        <v>0</v>
      </c>
      <c r="M7" s="41">
        <f t="shared" si="0"/>
        <v>0</v>
      </c>
      <c r="N7" s="27">
        <v>0</v>
      </c>
      <c r="O7" s="40">
        <f t="shared" si="1"/>
        <v>0</v>
      </c>
      <c r="P7" s="22"/>
      <c r="Q7" s="40">
        <f t="shared" si="7"/>
        <v>0</v>
      </c>
      <c r="R7" s="42">
        <f t="shared" si="2"/>
        <v>0</v>
      </c>
      <c r="S7" s="40">
        <f t="shared" si="3"/>
        <v>0</v>
      </c>
      <c r="T7" s="23">
        <f t="shared" si="4"/>
        <v>0</v>
      </c>
    </row>
    <row r="8" spans="2:22" x14ac:dyDescent="0.25">
      <c r="B8" s="24"/>
      <c r="C8" s="25"/>
      <c r="D8" s="25"/>
      <c r="E8" s="25"/>
      <c r="F8" s="25"/>
      <c r="G8" s="26"/>
      <c r="H8" s="20"/>
      <c r="I8" s="44"/>
      <c r="J8" s="43">
        <f t="shared" si="5"/>
        <v>0</v>
      </c>
      <c r="K8" s="27"/>
      <c r="L8" s="40">
        <f t="shared" si="6"/>
        <v>0</v>
      </c>
      <c r="M8" s="41">
        <f t="shared" si="0"/>
        <v>0</v>
      </c>
      <c r="N8" s="27">
        <v>0</v>
      </c>
      <c r="O8" s="40">
        <f t="shared" si="1"/>
        <v>0</v>
      </c>
      <c r="P8" s="22"/>
      <c r="Q8" s="40">
        <f t="shared" si="7"/>
        <v>0</v>
      </c>
      <c r="R8" s="42">
        <f t="shared" si="2"/>
        <v>0</v>
      </c>
      <c r="S8" s="40">
        <f t="shared" si="3"/>
        <v>0</v>
      </c>
      <c r="T8" s="23">
        <f t="shared" si="4"/>
        <v>0</v>
      </c>
    </row>
    <row r="9" spans="2:22" x14ac:dyDescent="0.25">
      <c r="B9" s="24"/>
      <c r="C9" s="25"/>
      <c r="D9" s="25"/>
      <c r="E9" s="25"/>
      <c r="F9" s="25"/>
      <c r="G9" s="26"/>
      <c r="H9" s="20"/>
      <c r="I9" s="44"/>
      <c r="J9" s="43">
        <f t="shared" si="5"/>
        <v>0</v>
      </c>
      <c r="K9" s="27"/>
      <c r="L9" s="40">
        <f t="shared" si="6"/>
        <v>0</v>
      </c>
      <c r="M9" s="41">
        <f t="shared" si="0"/>
        <v>0</v>
      </c>
      <c r="N9" s="27">
        <v>0</v>
      </c>
      <c r="O9" s="40">
        <f t="shared" si="1"/>
        <v>0</v>
      </c>
      <c r="P9" s="22"/>
      <c r="Q9" s="40">
        <f t="shared" si="7"/>
        <v>0</v>
      </c>
      <c r="R9" s="42">
        <f t="shared" si="2"/>
        <v>0</v>
      </c>
      <c r="S9" s="40">
        <f t="shared" si="3"/>
        <v>0</v>
      </c>
      <c r="T9" s="23">
        <f t="shared" si="4"/>
        <v>0</v>
      </c>
    </row>
    <row r="10" spans="2:22" x14ac:dyDescent="0.25">
      <c r="B10" s="24"/>
      <c r="C10" s="25"/>
      <c r="D10" s="25"/>
      <c r="E10" s="25"/>
      <c r="F10" s="25"/>
      <c r="G10" s="26"/>
      <c r="H10" s="20"/>
      <c r="I10" s="44"/>
      <c r="J10" s="43">
        <f t="shared" si="5"/>
        <v>0</v>
      </c>
      <c r="K10" s="27"/>
      <c r="L10" s="40">
        <f t="shared" si="6"/>
        <v>0</v>
      </c>
      <c r="M10" s="41">
        <f t="shared" si="0"/>
        <v>0</v>
      </c>
      <c r="N10" s="27">
        <v>0</v>
      </c>
      <c r="O10" s="40">
        <f t="shared" si="1"/>
        <v>0</v>
      </c>
      <c r="P10" s="22"/>
      <c r="Q10" s="40">
        <f t="shared" si="7"/>
        <v>0</v>
      </c>
      <c r="R10" s="42">
        <f t="shared" si="2"/>
        <v>0</v>
      </c>
      <c r="S10" s="40">
        <f t="shared" si="3"/>
        <v>0</v>
      </c>
      <c r="T10" s="23">
        <f t="shared" si="4"/>
        <v>0</v>
      </c>
    </row>
    <row r="11" spans="2:22" x14ac:dyDescent="0.25">
      <c r="B11" s="24"/>
      <c r="C11" s="25"/>
      <c r="D11" s="25"/>
      <c r="E11" s="25"/>
      <c r="F11" s="25"/>
      <c r="G11" s="26"/>
      <c r="H11" s="20"/>
      <c r="I11" s="44"/>
      <c r="J11" s="43">
        <f t="shared" si="5"/>
        <v>0</v>
      </c>
      <c r="K11" s="27"/>
      <c r="L11" s="40">
        <f t="shared" si="6"/>
        <v>0</v>
      </c>
      <c r="M11" s="41">
        <f t="shared" si="0"/>
        <v>0</v>
      </c>
      <c r="N11" s="27">
        <v>0</v>
      </c>
      <c r="O11" s="40">
        <f t="shared" si="1"/>
        <v>0</v>
      </c>
      <c r="P11" s="22"/>
      <c r="Q11" s="40">
        <f t="shared" si="7"/>
        <v>0</v>
      </c>
      <c r="R11" s="42">
        <f t="shared" si="2"/>
        <v>0</v>
      </c>
      <c r="S11" s="40">
        <f t="shared" si="3"/>
        <v>0</v>
      </c>
      <c r="T11" s="23">
        <f t="shared" si="4"/>
        <v>0</v>
      </c>
    </row>
    <row r="12" spans="2:22" x14ac:dyDescent="0.25">
      <c r="B12" s="24"/>
      <c r="C12" s="25"/>
      <c r="D12" s="25"/>
      <c r="E12" s="25"/>
      <c r="F12" s="25"/>
      <c r="G12" s="26"/>
      <c r="H12" s="20"/>
      <c r="I12" s="44"/>
      <c r="J12" s="43">
        <f t="shared" si="5"/>
        <v>0</v>
      </c>
      <c r="K12" s="27"/>
      <c r="L12" s="40">
        <f t="shared" si="6"/>
        <v>0</v>
      </c>
      <c r="M12" s="41">
        <f t="shared" si="0"/>
        <v>0</v>
      </c>
      <c r="N12" s="27">
        <v>0</v>
      </c>
      <c r="O12" s="40">
        <f t="shared" si="1"/>
        <v>0</v>
      </c>
      <c r="P12" s="22"/>
      <c r="Q12" s="40">
        <f t="shared" si="7"/>
        <v>0</v>
      </c>
      <c r="R12" s="42">
        <f t="shared" si="2"/>
        <v>0</v>
      </c>
      <c r="S12" s="40">
        <f t="shared" si="3"/>
        <v>0</v>
      </c>
      <c r="T12" s="23">
        <f t="shared" si="4"/>
        <v>0</v>
      </c>
    </row>
    <row r="13" spans="2:22" x14ac:dyDescent="0.25">
      <c r="B13" s="24"/>
      <c r="C13" s="25"/>
      <c r="D13" s="25"/>
      <c r="E13" s="25"/>
      <c r="F13" s="25"/>
      <c r="G13" s="26"/>
      <c r="H13" s="20"/>
      <c r="I13" s="44"/>
      <c r="J13" s="43">
        <f t="shared" si="5"/>
        <v>0</v>
      </c>
      <c r="K13" s="27"/>
      <c r="L13" s="40">
        <f t="shared" si="6"/>
        <v>0</v>
      </c>
      <c r="M13" s="41">
        <f t="shared" si="0"/>
        <v>0</v>
      </c>
      <c r="N13" s="27">
        <v>0</v>
      </c>
      <c r="O13" s="40">
        <f t="shared" si="1"/>
        <v>0</v>
      </c>
      <c r="P13" s="22"/>
      <c r="Q13" s="40">
        <f t="shared" si="7"/>
        <v>0</v>
      </c>
      <c r="R13" s="42">
        <f t="shared" si="2"/>
        <v>0</v>
      </c>
      <c r="S13" s="40">
        <f t="shared" si="3"/>
        <v>0</v>
      </c>
      <c r="T13" s="23">
        <f t="shared" si="4"/>
        <v>0</v>
      </c>
    </row>
    <row r="14" spans="2:22" x14ac:dyDescent="0.25">
      <c r="B14" s="24"/>
      <c r="C14" s="25"/>
      <c r="D14" s="25"/>
      <c r="E14" s="25"/>
      <c r="F14" s="25"/>
      <c r="G14" s="26"/>
      <c r="H14" s="20"/>
      <c r="I14" s="19"/>
      <c r="J14" s="43">
        <f t="shared" si="5"/>
        <v>0</v>
      </c>
      <c r="K14" s="27"/>
      <c r="L14" s="40">
        <f t="shared" si="6"/>
        <v>0</v>
      </c>
      <c r="M14" s="41">
        <f t="shared" si="0"/>
        <v>0</v>
      </c>
      <c r="N14" s="27">
        <v>0</v>
      </c>
      <c r="O14" s="40">
        <f t="shared" si="1"/>
        <v>0</v>
      </c>
      <c r="P14" s="22"/>
      <c r="Q14" s="40">
        <f t="shared" si="7"/>
        <v>0</v>
      </c>
      <c r="R14" s="42">
        <f t="shared" si="2"/>
        <v>0</v>
      </c>
      <c r="S14" s="40">
        <f t="shared" si="3"/>
        <v>0</v>
      </c>
      <c r="T14" s="23">
        <f t="shared" si="4"/>
        <v>0</v>
      </c>
      <c r="U14" s="37"/>
      <c r="V14" s="38"/>
    </row>
    <row r="15" spans="2:22" x14ac:dyDescent="0.25">
      <c r="B15" s="24"/>
      <c r="C15" s="25"/>
      <c r="D15" s="25"/>
      <c r="E15" s="25"/>
      <c r="F15" s="25"/>
      <c r="G15" s="26"/>
      <c r="H15" s="20"/>
      <c r="I15" s="19"/>
      <c r="J15" s="43">
        <f t="shared" si="5"/>
        <v>0</v>
      </c>
      <c r="K15" s="27"/>
      <c r="L15" s="40">
        <f t="shared" si="6"/>
        <v>0</v>
      </c>
      <c r="M15" s="41">
        <f t="shared" si="0"/>
        <v>0</v>
      </c>
      <c r="N15" s="27">
        <v>0</v>
      </c>
      <c r="O15" s="40">
        <f t="shared" si="1"/>
        <v>0</v>
      </c>
      <c r="P15" s="22"/>
      <c r="Q15" s="40">
        <f t="shared" si="7"/>
        <v>0</v>
      </c>
      <c r="R15" s="42">
        <f t="shared" si="2"/>
        <v>0</v>
      </c>
      <c r="S15" s="40">
        <f t="shared" si="3"/>
        <v>0</v>
      </c>
      <c r="T15" s="23">
        <f t="shared" si="4"/>
        <v>0</v>
      </c>
      <c r="U15" s="37"/>
      <c r="V15" s="39"/>
    </row>
    <row r="16" spans="2:22" x14ac:dyDescent="0.25">
      <c r="B16" s="24"/>
      <c r="C16" s="25"/>
      <c r="D16" s="25"/>
      <c r="E16" s="25"/>
      <c r="F16" s="25"/>
      <c r="G16" s="26"/>
      <c r="H16" s="20"/>
      <c r="I16" s="19"/>
      <c r="J16" s="43">
        <f t="shared" si="5"/>
        <v>0</v>
      </c>
      <c r="K16" s="27"/>
      <c r="L16" s="40">
        <f t="shared" si="6"/>
        <v>0</v>
      </c>
      <c r="M16" s="41">
        <f t="shared" si="0"/>
        <v>0</v>
      </c>
      <c r="N16" s="27">
        <v>0</v>
      </c>
      <c r="O16" s="40">
        <f t="shared" si="1"/>
        <v>0</v>
      </c>
      <c r="P16" s="22"/>
      <c r="Q16" s="40">
        <f t="shared" si="7"/>
        <v>0</v>
      </c>
      <c r="R16" s="42">
        <f t="shared" si="2"/>
        <v>0</v>
      </c>
      <c r="S16" s="40">
        <f t="shared" si="3"/>
        <v>0</v>
      </c>
      <c r="T16" s="23">
        <f t="shared" si="4"/>
        <v>0</v>
      </c>
    </row>
    <row r="17" spans="2:20" x14ac:dyDescent="0.25">
      <c r="B17" s="24"/>
      <c r="C17" s="25"/>
      <c r="D17" s="25"/>
      <c r="E17" s="25"/>
      <c r="F17" s="25"/>
      <c r="G17" s="28"/>
      <c r="H17" s="29"/>
      <c r="I17" s="19"/>
      <c r="J17" s="43">
        <f t="shared" si="5"/>
        <v>0</v>
      </c>
      <c r="K17" s="27"/>
      <c r="L17" s="40">
        <f t="shared" si="6"/>
        <v>0</v>
      </c>
      <c r="M17" s="41">
        <f t="shared" si="0"/>
        <v>0</v>
      </c>
      <c r="N17" s="27">
        <v>0</v>
      </c>
      <c r="O17" s="40">
        <f t="shared" si="1"/>
        <v>0</v>
      </c>
      <c r="P17" s="30"/>
      <c r="Q17" s="40">
        <f t="shared" si="7"/>
        <v>0</v>
      </c>
      <c r="R17" s="42">
        <f t="shared" si="2"/>
        <v>0</v>
      </c>
      <c r="S17" s="40">
        <f t="shared" si="3"/>
        <v>0</v>
      </c>
      <c r="T17" s="23">
        <f t="shared" si="4"/>
        <v>0</v>
      </c>
    </row>
    <row r="18" spans="2:20" x14ac:dyDescent="0.25">
      <c r="B18" s="24"/>
      <c r="C18" s="25"/>
      <c r="D18" s="25"/>
      <c r="E18" s="25"/>
      <c r="F18" s="25"/>
      <c r="G18" s="28"/>
      <c r="H18" s="29"/>
      <c r="I18" s="19"/>
      <c r="J18" s="43">
        <f t="shared" si="5"/>
        <v>0</v>
      </c>
      <c r="K18" s="27"/>
      <c r="L18" s="40">
        <f t="shared" si="6"/>
        <v>0</v>
      </c>
      <c r="M18" s="41">
        <f t="shared" si="0"/>
        <v>0</v>
      </c>
      <c r="N18" s="27">
        <v>0</v>
      </c>
      <c r="O18" s="40">
        <f t="shared" si="1"/>
        <v>0</v>
      </c>
      <c r="P18" s="30"/>
      <c r="Q18" s="40">
        <f t="shared" si="7"/>
        <v>0</v>
      </c>
      <c r="R18" s="42">
        <f t="shared" si="2"/>
        <v>0</v>
      </c>
      <c r="S18" s="40">
        <f t="shared" si="3"/>
        <v>0</v>
      </c>
      <c r="T18" s="23">
        <f t="shared" si="4"/>
        <v>0</v>
      </c>
    </row>
    <row r="19" spans="2:20" x14ac:dyDescent="0.25">
      <c r="B19" s="24"/>
      <c r="C19" s="25"/>
      <c r="D19" s="25"/>
      <c r="E19" s="25"/>
      <c r="F19" s="25"/>
      <c r="G19" s="28"/>
      <c r="H19" s="29"/>
      <c r="I19" s="19"/>
      <c r="J19" s="43">
        <f t="shared" si="5"/>
        <v>0</v>
      </c>
      <c r="K19" s="27"/>
      <c r="L19" s="40">
        <f t="shared" si="6"/>
        <v>0</v>
      </c>
      <c r="M19" s="41">
        <f t="shared" si="0"/>
        <v>0</v>
      </c>
      <c r="N19" s="27">
        <v>0</v>
      </c>
      <c r="O19" s="40">
        <f t="shared" si="1"/>
        <v>0</v>
      </c>
      <c r="P19" s="30"/>
      <c r="Q19" s="40">
        <f t="shared" si="7"/>
        <v>0</v>
      </c>
      <c r="R19" s="42">
        <f t="shared" si="2"/>
        <v>0</v>
      </c>
      <c r="S19" s="40">
        <f t="shared" si="3"/>
        <v>0</v>
      </c>
      <c r="T19" s="23">
        <f t="shared" si="4"/>
        <v>0</v>
      </c>
    </row>
    <row r="20" spans="2:20" x14ac:dyDescent="0.25">
      <c r="B20" s="24"/>
      <c r="C20" s="25"/>
      <c r="D20" s="25"/>
      <c r="E20" s="25"/>
      <c r="F20" s="25"/>
      <c r="G20" s="28"/>
      <c r="H20" s="29"/>
      <c r="I20" s="19"/>
      <c r="J20" s="43">
        <f t="shared" si="5"/>
        <v>0</v>
      </c>
      <c r="K20" s="31"/>
      <c r="L20" s="40">
        <f t="shared" si="6"/>
        <v>0</v>
      </c>
      <c r="M20" s="41">
        <f t="shared" si="0"/>
        <v>0</v>
      </c>
      <c r="N20" s="27">
        <v>0</v>
      </c>
      <c r="O20" s="40">
        <f t="shared" si="1"/>
        <v>0</v>
      </c>
      <c r="P20" s="32"/>
      <c r="Q20" s="40">
        <f t="shared" si="7"/>
        <v>0</v>
      </c>
      <c r="R20" s="42">
        <f t="shared" si="2"/>
        <v>0</v>
      </c>
      <c r="S20" s="40">
        <f t="shared" si="3"/>
        <v>0</v>
      </c>
      <c r="T20" s="23">
        <f t="shared" si="4"/>
        <v>0</v>
      </c>
    </row>
    <row r="21" spans="2:20" x14ac:dyDescent="0.25">
      <c r="B21" s="24"/>
      <c r="C21" s="25"/>
      <c r="D21" s="25"/>
      <c r="E21" s="25"/>
      <c r="F21" s="25"/>
      <c r="G21" s="28"/>
      <c r="H21" s="29"/>
      <c r="I21" s="19"/>
      <c r="J21" s="43">
        <f t="shared" si="5"/>
        <v>0</v>
      </c>
      <c r="K21" s="31"/>
      <c r="L21" s="40">
        <f t="shared" si="6"/>
        <v>0</v>
      </c>
      <c r="M21" s="41">
        <f t="shared" si="0"/>
        <v>0</v>
      </c>
      <c r="N21" s="27">
        <v>0</v>
      </c>
      <c r="O21" s="40">
        <f t="shared" si="1"/>
        <v>0</v>
      </c>
      <c r="P21" s="32"/>
      <c r="Q21" s="40">
        <f t="shared" si="7"/>
        <v>0</v>
      </c>
      <c r="R21" s="42">
        <f t="shared" si="2"/>
        <v>0</v>
      </c>
      <c r="S21" s="40">
        <f t="shared" si="3"/>
        <v>0</v>
      </c>
      <c r="T21" s="23">
        <f t="shared" si="4"/>
        <v>0</v>
      </c>
    </row>
    <row r="22" spans="2:20" x14ac:dyDescent="0.25">
      <c r="B22" s="24"/>
      <c r="C22" s="25"/>
      <c r="D22" s="25"/>
      <c r="E22" s="25"/>
      <c r="F22" s="25"/>
      <c r="G22" s="28"/>
      <c r="H22" s="29"/>
      <c r="I22" s="19"/>
      <c r="J22" s="43">
        <f t="shared" si="5"/>
        <v>0</v>
      </c>
      <c r="K22" s="31"/>
      <c r="L22" s="40">
        <f t="shared" si="6"/>
        <v>0</v>
      </c>
      <c r="M22" s="41">
        <f t="shared" si="0"/>
        <v>0</v>
      </c>
      <c r="N22" s="27">
        <v>0</v>
      </c>
      <c r="O22" s="40">
        <f t="shared" si="1"/>
        <v>0</v>
      </c>
      <c r="P22" s="32"/>
      <c r="Q22" s="40">
        <f t="shared" si="7"/>
        <v>0</v>
      </c>
      <c r="R22" s="42">
        <f t="shared" si="2"/>
        <v>0</v>
      </c>
      <c r="S22" s="40">
        <f t="shared" si="3"/>
        <v>0</v>
      </c>
      <c r="T22" s="23">
        <f t="shared" si="4"/>
        <v>0</v>
      </c>
    </row>
    <row r="23" spans="2:20" x14ac:dyDescent="0.25">
      <c r="B23" s="24"/>
      <c r="C23" s="25"/>
      <c r="D23" s="25"/>
      <c r="E23" s="25"/>
      <c r="F23" s="25"/>
      <c r="G23" s="28"/>
      <c r="H23" s="29"/>
      <c r="I23" s="19"/>
      <c r="J23" s="43">
        <f t="shared" si="5"/>
        <v>0</v>
      </c>
      <c r="K23" s="31"/>
      <c r="L23" s="40">
        <f t="shared" si="6"/>
        <v>0</v>
      </c>
      <c r="M23" s="41">
        <f t="shared" si="0"/>
        <v>0</v>
      </c>
      <c r="N23" s="27">
        <v>0</v>
      </c>
      <c r="O23" s="40">
        <f t="shared" si="1"/>
        <v>0</v>
      </c>
      <c r="P23" s="32"/>
      <c r="Q23" s="40">
        <f t="shared" si="7"/>
        <v>0</v>
      </c>
      <c r="R23" s="42">
        <f t="shared" si="2"/>
        <v>0</v>
      </c>
      <c r="S23" s="40">
        <f t="shared" si="3"/>
        <v>0</v>
      </c>
      <c r="T23" s="23">
        <f t="shared" si="4"/>
        <v>0</v>
      </c>
    </row>
    <row r="24" spans="2:20" x14ac:dyDescent="0.25">
      <c r="B24" s="24"/>
      <c r="C24" s="25"/>
      <c r="D24" s="25"/>
      <c r="E24" s="25"/>
      <c r="F24" s="25"/>
      <c r="G24" s="28"/>
      <c r="H24" s="29"/>
      <c r="I24" s="19"/>
      <c r="J24" s="43">
        <f t="shared" si="5"/>
        <v>0</v>
      </c>
      <c r="K24" s="27"/>
      <c r="L24" s="40">
        <f t="shared" si="6"/>
        <v>0</v>
      </c>
      <c r="M24" s="41">
        <f t="shared" si="0"/>
        <v>0</v>
      </c>
      <c r="N24" s="27">
        <v>0</v>
      </c>
      <c r="O24" s="40">
        <f t="shared" si="1"/>
        <v>0</v>
      </c>
      <c r="P24" s="32"/>
      <c r="Q24" s="40">
        <f t="shared" si="7"/>
        <v>0</v>
      </c>
      <c r="R24" s="42">
        <f t="shared" si="2"/>
        <v>0</v>
      </c>
      <c r="S24" s="40">
        <f t="shared" si="3"/>
        <v>0</v>
      </c>
      <c r="T24" s="23">
        <f t="shared" si="4"/>
        <v>0</v>
      </c>
    </row>
    <row r="25" spans="2:20" x14ac:dyDescent="0.25">
      <c r="B25" s="24"/>
      <c r="C25" s="25"/>
      <c r="D25" s="25"/>
      <c r="E25" s="25"/>
      <c r="F25" s="25"/>
      <c r="G25" s="28"/>
      <c r="H25" s="29"/>
      <c r="I25" s="19"/>
      <c r="J25" s="43">
        <f t="shared" si="5"/>
        <v>0</v>
      </c>
      <c r="K25" s="31"/>
      <c r="L25" s="40">
        <f t="shared" si="6"/>
        <v>0</v>
      </c>
      <c r="M25" s="41">
        <f t="shared" si="0"/>
        <v>0</v>
      </c>
      <c r="N25" s="27">
        <v>0</v>
      </c>
      <c r="O25" s="40">
        <f t="shared" si="1"/>
        <v>0</v>
      </c>
      <c r="P25" s="32"/>
      <c r="Q25" s="40">
        <f t="shared" si="7"/>
        <v>0</v>
      </c>
      <c r="R25" s="42">
        <f t="shared" si="2"/>
        <v>0</v>
      </c>
      <c r="S25" s="40">
        <f t="shared" si="3"/>
        <v>0</v>
      </c>
      <c r="T25" s="23">
        <f t="shared" si="4"/>
        <v>0</v>
      </c>
    </row>
    <row r="26" spans="2:20" x14ac:dyDescent="0.25">
      <c r="B26" s="24"/>
      <c r="C26" s="25"/>
      <c r="D26" s="25"/>
      <c r="E26" s="25"/>
      <c r="F26" s="25"/>
      <c r="G26" s="28"/>
      <c r="H26" s="29"/>
      <c r="I26" s="19"/>
      <c r="J26" s="43">
        <f t="shared" si="5"/>
        <v>0</v>
      </c>
      <c r="K26" s="31"/>
      <c r="L26" s="40">
        <f t="shared" si="6"/>
        <v>0</v>
      </c>
      <c r="M26" s="41">
        <f t="shared" si="0"/>
        <v>0</v>
      </c>
      <c r="N26" s="27">
        <v>0</v>
      </c>
      <c r="O26" s="40">
        <f t="shared" si="1"/>
        <v>0</v>
      </c>
      <c r="P26" s="32"/>
      <c r="Q26" s="40">
        <f t="shared" si="7"/>
        <v>0</v>
      </c>
      <c r="R26" s="42">
        <f t="shared" si="2"/>
        <v>0</v>
      </c>
      <c r="S26" s="40">
        <f t="shared" si="3"/>
        <v>0</v>
      </c>
      <c r="T26" s="23">
        <f t="shared" si="4"/>
        <v>0</v>
      </c>
    </row>
    <row r="27" spans="2:20" x14ac:dyDescent="0.25">
      <c r="B27" s="24"/>
      <c r="C27" s="25"/>
      <c r="D27" s="25"/>
      <c r="E27" s="33"/>
      <c r="F27" s="25"/>
      <c r="G27" s="28"/>
      <c r="H27" s="29"/>
      <c r="I27" s="19"/>
      <c r="J27" s="43">
        <f t="shared" si="5"/>
        <v>0</v>
      </c>
      <c r="K27" s="27"/>
      <c r="L27" s="40">
        <f t="shared" si="6"/>
        <v>0</v>
      </c>
      <c r="M27" s="41">
        <f t="shared" si="0"/>
        <v>0</v>
      </c>
      <c r="N27" s="27">
        <v>0</v>
      </c>
      <c r="O27" s="40">
        <f t="shared" si="1"/>
        <v>0</v>
      </c>
      <c r="P27" s="32"/>
      <c r="Q27" s="40">
        <f t="shared" si="7"/>
        <v>0</v>
      </c>
      <c r="R27" s="42">
        <f t="shared" si="2"/>
        <v>0</v>
      </c>
      <c r="S27" s="40">
        <f t="shared" si="3"/>
        <v>0</v>
      </c>
      <c r="T27" s="23">
        <f t="shared" si="4"/>
        <v>0</v>
      </c>
    </row>
    <row r="28" spans="2:20" x14ac:dyDescent="0.25">
      <c r="B28" s="24"/>
      <c r="C28" s="25"/>
      <c r="D28" s="25"/>
      <c r="E28" s="25"/>
      <c r="F28" s="25"/>
      <c r="G28" s="28"/>
      <c r="H28" s="29"/>
      <c r="I28" s="19"/>
      <c r="J28" s="43">
        <f t="shared" si="5"/>
        <v>0</v>
      </c>
      <c r="K28" s="27"/>
      <c r="L28" s="40">
        <f t="shared" si="6"/>
        <v>0</v>
      </c>
      <c r="M28" s="41">
        <f t="shared" si="0"/>
        <v>0</v>
      </c>
      <c r="N28" s="27">
        <v>0</v>
      </c>
      <c r="O28" s="40">
        <f t="shared" si="1"/>
        <v>0</v>
      </c>
      <c r="P28" s="32"/>
      <c r="Q28" s="40">
        <f t="shared" si="7"/>
        <v>0</v>
      </c>
      <c r="R28" s="42">
        <f t="shared" si="2"/>
        <v>0</v>
      </c>
      <c r="S28" s="40">
        <f t="shared" si="3"/>
        <v>0</v>
      </c>
      <c r="T28" s="23">
        <f t="shared" si="4"/>
        <v>0</v>
      </c>
    </row>
    <row r="29" spans="2:20" x14ac:dyDescent="0.25">
      <c r="B29" s="24"/>
      <c r="C29" s="25"/>
      <c r="D29" s="25"/>
      <c r="E29" s="25"/>
      <c r="F29" s="25"/>
      <c r="G29" s="28"/>
      <c r="H29" s="29"/>
      <c r="I29" s="19"/>
      <c r="J29" s="43">
        <f t="shared" si="5"/>
        <v>0</v>
      </c>
      <c r="K29" s="27"/>
      <c r="L29" s="40">
        <f t="shared" si="6"/>
        <v>0</v>
      </c>
      <c r="M29" s="41">
        <f t="shared" si="0"/>
        <v>0</v>
      </c>
      <c r="N29" s="27">
        <v>0</v>
      </c>
      <c r="O29" s="40">
        <f t="shared" si="1"/>
        <v>0</v>
      </c>
      <c r="P29" s="32"/>
      <c r="Q29" s="40">
        <f t="shared" si="7"/>
        <v>0</v>
      </c>
      <c r="R29" s="42">
        <f t="shared" si="2"/>
        <v>0</v>
      </c>
      <c r="S29" s="40">
        <f t="shared" si="3"/>
        <v>0</v>
      </c>
      <c r="T29" s="23">
        <f t="shared" si="4"/>
        <v>0</v>
      </c>
    </row>
    <row r="30" spans="2:20" x14ac:dyDescent="0.25">
      <c r="B30" s="24"/>
      <c r="C30" s="25"/>
      <c r="D30" s="25"/>
      <c r="E30" s="25"/>
      <c r="F30" s="25"/>
      <c r="G30" s="28"/>
      <c r="H30" s="29"/>
      <c r="I30" s="19"/>
      <c r="J30" s="43">
        <f t="shared" si="5"/>
        <v>0</v>
      </c>
      <c r="K30" s="31"/>
      <c r="L30" s="40">
        <f t="shared" si="6"/>
        <v>0</v>
      </c>
      <c r="M30" s="41">
        <f t="shared" si="0"/>
        <v>0</v>
      </c>
      <c r="N30" s="27">
        <v>0</v>
      </c>
      <c r="O30" s="40">
        <f t="shared" si="1"/>
        <v>0</v>
      </c>
      <c r="P30" s="32"/>
      <c r="Q30" s="40">
        <f t="shared" si="7"/>
        <v>0</v>
      </c>
      <c r="R30" s="42">
        <f t="shared" si="2"/>
        <v>0</v>
      </c>
      <c r="S30" s="40">
        <f t="shared" si="3"/>
        <v>0</v>
      </c>
      <c r="T30" s="23">
        <f t="shared" si="4"/>
        <v>0</v>
      </c>
    </row>
    <row r="31" spans="2:20" x14ac:dyDescent="0.25">
      <c r="B31" s="24"/>
      <c r="C31" s="25"/>
      <c r="D31" s="25"/>
      <c r="E31" s="25"/>
      <c r="F31" s="25"/>
      <c r="G31" s="28"/>
      <c r="H31" s="29"/>
      <c r="I31" s="19"/>
      <c r="J31" s="43">
        <f t="shared" si="5"/>
        <v>0</v>
      </c>
      <c r="K31" s="27"/>
      <c r="L31" s="40">
        <f t="shared" si="6"/>
        <v>0</v>
      </c>
      <c r="M31" s="41">
        <f t="shared" si="0"/>
        <v>0</v>
      </c>
      <c r="N31" s="27">
        <v>0</v>
      </c>
      <c r="O31" s="40">
        <f t="shared" si="1"/>
        <v>0</v>
      </c>
      <c r="P31" s="32"/>
      <c r="Q31" s="40">
        <f t="shared" si="7"/>
        <v>0</v>
      </c>
      <c r="R31" s="42">
        <f t="shared" si="2"/>
        <v>0</v>
      </c>
      <c r="S31" s="40">
        <f t="shared" si="3"/>
        <v>0</v>
      </c>
      <c r="T31" s="23">
        <f t="shared" si="4"/>
        <v>0</v>
      </c>
    </row>
    <row r="32" spans="2:20" x14ac:dyDescent="0.25">
      <c r="B32" s="24"/>
      <c r="C32" s="25"/>
      <c r="D32" s="25"/>
      <c r="E32" s="25"/>
      <c r="F32" s="25"/>
      <c r="G32" s="28"/>
      <c r="H32" s="29"/>
      <c r="I32" s="19"/>
      <c r="J32" s="43">
        <f t="shared" si="5"/>
        <v>0</v>
      </c>
      <c r="K32" s="27"/>
      <c r="L32" s="40">
        <f t="shared" si="6"/>
        <v>0</v>
      </c>
      <c r="M32" s="41">
        <f t="shared" si="0"/>
        <v>0</v>
      </c>
      <c r="N32" s="27">
        <v>0</v>
      </c>
      <c r="O32" s="40">
        <f t="shared" si="1"/>
        <v>0</v>
      </c>
      <c r="P32" s="32"/>
      <c r="Q32" s="40">
        <f t="shared" si="7"/>
        <v>0</v>
      </c>
      <c r="R32" s="42">
        <f t="shared" si="2"/>
        <v>0</v>
      </c>
      <c r="S32" s="40">
        <f t="shared" si="3"/>
        <v>0</v>
      </c>
      <c r="T32" s="23">
        <f t="shared" si="4"/>
        <v>0</v>
      </c>
    </row>
    <row r="33" spans="2:29" x14ac:dyDescent="0.25">
      <c r="B33" s="24"/>
      <c r="C33" s="25"/>
      <c r="D33" s="25"/>
      <c r="E33" s="25"/>
      <c r="F33" s="25"/>
      <c r="G33" s="28"/>
      <c r="H33" s="29"/>
      <c r="I33" s="19"/>
      <c r="J33" s="43">
        <f t="shared" si="5"/>
        <v>0</v>
      </c>
      <c r="K33" s="31"/>
      <c r="L33" s="40">
        <f t="shared" si="6"/>
        <v>0</v>
      </c>
      <c r="M33" s="41">
        <f t="shared" si="0"/>
        <v>0</v>
      </c>
      <c r="N33" s="27">
        <v>0</v>
      </c>
      <c r="O33" s="40">
        <f t="shared" si="1"/>
        <v>0</v>
      </c>
      <c r="P33" s="32"/>
      <c r="Q33" s="40">
        <f t="shared" si="7"/>
        <v>0</v>
      </c>
      <c r="R33" s="42">
        <f t="shared" si="2"/>
        <v>0</v>
      </c>
      <c r="S33" s="40">
        <f t="shared" si="3"/>
        <v>0</v>
      </c>
      <c r="T33" s="23">
        <f t="shared" si="4"/>
        <v>0</v>
      </c>
    </row>
    <row r="34" spans="2:29" x14ac:dyDescent="0.25">
      <c r="B34" s="24"/>
      <c r="C34" s="25"/>
      <c r="D34" s="25"/>
      <c r="E34" s="25"/>
      <c r="F34" s="25"/>
      <c r="G34" s="28"/>
      <c r="H34" s="29"/>
      <c r="I34" s="19"/>
      <c r="J34" s="43">
        <f t="shared" si="5"/>
        <v>0</v>
      </c>
      <c r="K34" s="27"/>
      <c r="L34" s="40">
        <f t="shared" si="6"/>
        <v>0</v>
      </c>
      <c r="M34" s="41">
        <f t="shared" si="0"/>
        <v>0</v>
      </c>
      <c r="N34" s="27">
        <v>0</v>
      </c>
      <c r="O34" s="40">
        <f t="shared" si="1"/>
        <v>0</v>
      </c>
      <c r="P34" s="32"/>
      <c r="Q34" s="40">
        <f t="shared" si="7"/>
        <v>0</v>
      </c>
      <c r="R34" s="42">
        <f t="shared" si="2"/>
        <v>0</v>
      </c>
      <c r="S34" s="40">
        <f t="shared" si="3"/>
        <v>0</v>
      </c>
      <c r="T34" s="23">
        <f t="shared" si="4"/>
        <v>0</v>
      </c>
    </row>
    <row r="35" spans="2:29" x14ac:dyDescent="0.25">
      <c r="B35" s="24"/>
      <c r="C35" s="25"/>
      <c r="D35" s="25"/>
      <c r="E35" s="25"/>
      <c r="F35" s="25"/>
      <c r="G35" s="28"/>
      <c r="H35" s="29"/>
      <c r="I35" s="19"/>
      <c r="J35" s="43">
        <f t="shared" si="5"/>
        <v>0</v>
      </c>
      <c r="K35" s="27"/>
      <c r="L35" s="40">
        <f t="shared" si="6"/>
        <v>0</v>
      </c>
      <c r="M35" s="41">
        <f t="shared" si="0"/>
        <v>0</v>
      </c>
      <c r="N35" s="27">
        <v>0</v>
      </c>
      <c r="O35" s="40">
        <f t="shared" si="1"/>
        <v>0</v>
      </c>
      <c r="P35" s="32"/>
      <c r="Q35" s="40">
        <f t="shared" si="7"/>
        <v>0</v>
      </c>
      <c r="R35" s="42">
        <f t="shared" si="2"/>
        <v>0</v>
      </c>
      <c r="S35" s="40">
        <f t="shared" si="3"/>
        <v>0</v>
      </c>
      <c r="T35" s="23">
        <f t="shared" si="4"/>
        <v>0</v>
      </c>
    </row>
    <row r="36" spans="2:29" x14ac:dyDescent="0.25">
      <c r="B36" s="24"/>
      <c r="C36" s="25"/>
      <c r="D36" s="25"/>
      <c r="E36" s="25"/>
      <c r="F36" s="25"/>
      <c r="G36" s="28"/>
      <c r="H36" s="29"/>
      <c r="I36" s="19"/>
      <c r="J36" s="43">
        <f t="shared" si="5"/>
        <v>0</v>
      </c>
      <c r="K36" s="27"/>
      <c r="L36" s="40">
        <f t="shared" si="6"/>
        <v>0</v>
      </c>
      <c r="M36" s="41">
        <f t="shared" si="0"/>
        <v>0</v>
      </c>
      <c r="N36" s="27">
        <v>0</v>
      </c>
      <c r="O36" s="40">
        <f t="shared" si="1"/>
        <v>0</v>
      </c>
      <c r="P36" s="32"/>
      <c r="Q36" s="40">
        <f t="shared" si="7"/>
        <v>0</v>
      </c>
      <c r="R36" s="42">
        <f t="shared" si="2"/>
        <v>0</v>
      </c>
      <c r="S36" s="40">
        <f t="shared" si="3"/>
        <v>0</v>
      </c>
      <c r="T36" s="23">
        <f t="shared" si="4"/>
        <v>0</v>
      </c>
    </row>
    <row r="37" spans="2:29" x14ac:dyDescent="0.25">
      <c r="B37" s="24"/>
      <c r="C37" s="25"/>
      <c r="D37" s="25"/>
      <c r="E37" s="25"/>
      <c r="F37" s="25"/>
      <c r="G37" s="28"/>
      <c r="H37" s="29"/>
      <c r="I37" s="19"/>
      <c r="J37" s="43">
        <f t="shared" si="5"/>
        <v>0</v>
      </c>
      <c r="K37" s="27"/>
      <c r="L37" s="40">
        <f t="shared" si="6"/>
        <v>0</v>
      </c>
      <c r="M37" s="41">
        <f t="shared" si="0"/>
        <v>0</v>
      </c>
      <c r="N37" s="27">
        <v>0</v>
      </c>
      <c r="O37" s="40">
        <f t="shared" si="1"/>
        <v>0</v>
      </c>
      <c r="P37" s="32"/>
      <c r="Q37" s="40">
        <f t="shared" si="7"/>
        <v>0</v>
      </c>
      <c r="R37" s="42">
        <f t="shared" si="2"/>
        <v>0</v>
      </c>
      <c r="S37" s="40">
        <f t="shared" si="3"/>
        <v>0</v>
      </c>
      <c r="T37" s="23">
        <f t="shared" si="4"/>
        <v>0</v>
      </c>
    </row>
    <row r="38" spans="2:29" x14ac:dyDescent="0.25">
      <c r="B38" s="24"/>
      <c r="C38" s="25"/>
      <c r="D38" s="25"/>
      <c r="E38" s="25"/>
      <c r="F38" s="25"/>
      <c r="G38" s="28"/>
      <c r="H38" s="29"/>
      <c r="I38" s="19"/>
      <c r="J38" s="43">
        <f t="shared" si="5"/>
        <v>0</v>
      </c>
      <c r="K38" s="27"/>
      <c r="L38" s="40">
        <f t="shared" si="6"/>
        <v>0</v>
      </c>
      <c r="M38" s="41">
        <f t="shared" si="0"/>
        <v>0</v>
      </c>
      <c r="N38" s="27">
        <v>0</v>
      </c>
      <c r="O38" s="40">
        <f t="shared" si="1"/>
        <v>0</v>
      </c>
      <c r="P38" s="32"/>
      <c r="Q38" s="40">
        <f t="shared" si="7"/>
        <v>0</v>
      </c>
      <c r="R38" s="42">
        <f t="shared" si="2"/>
        <v>0</v>
      </c>
      <c r="S38" s="40">
        <f t="shared" si="3"/>
        <v>0</v>
      </c>
      <c r="T38" s="23">
        <f t="shared" si="4"/>
        <v>0</v>
      </c>
    </row>
    <row r="39" spans="2:29" x14ac:dyDescent="0.25">
      <c r="B39" s="24"/>
      <c r="C39" s="25"/>
      <c r="D39" s="25"/>
      <c r="E39" s="25"/>
      <c r="F39" s="25"/>
      <c r="G39" s="28"/>
      <c r="H39" s="29"/>
      <c r="I39" s="19"/>
      <c r="J39" s="43">
        <f t="shared" si="5"/>
        <v>0</v>
      </c>
      <c r="K39" s="31"/>
      <c r="L39" s="40">
        <f t="shared" si="6"/>
        <v>0</v>
      </c>
      <c r="M39" s="41">
        <f t="shared" si="0"/>
        <v>0</v>
      </c>
      <c r="N39" s="27">
        <v>0</v>
      </c>
      <c r="O39" s="40">
        <f t="shared" si="1"/>
        <v>0</v>
      </c>
      <c r="P39" s="32"/>
      <c r="Q39" s="40">
        <f t="shared" si="7"/>
        <v>0</v>
      </c>
      <c r="R39" s="42">
        <f t="shared" si="2"/>
        <v>0</v>
      </c>
      <c r="S39" s="40">
        <f t="shared" si="3"/>
        <v>0</v>
      </c>
      <c r="T39" s="23">
        <f t="shared" si="4"/>
        <v>0</v>
      </c>
      <c r="V39" s="34"/>
      <c r="W39" s="35"/>
      <c r="X39" s="35"/>
      <c r="Z39" s="35"/>
      <c r="AA39" s="34"/>
      <c r="AB39" s="35"/>
      <c r="AC39" s="35"/>
    </row>
    <row r="40" spans="2:29" x14ac:dyDescent="0.25">
      <c r="B40" s="24"/>
      <c r="C40" s="25"/>
      <c r="D40" s="25"/>
      <c r="E40" s="25"/>
      <c r="F40" s="25"/>
      <c r="G40" s="28"/>
      <c r="H40" s="29"/>
      <c r="I40" s="19"/>
      <c r="J40" s="43">
        <f t="shared" si="5"/>
        <v>0</v>
      </c>
      <c r="K40" s="27"/>
      <c r="L40" s="40">
        <f t="shared" si="6"/>
        <v>0</v>
      </c>
      <c r="M40" s="41">
        <f t="shared" si="0"/>
        <v>0</v>
      </c>
      <c r="N40" s="27">
        <v>0</v>
      </c>
      <c r="O40" s="40">
        <f t="shared" si="1"/>
        <v>0</v>
      </c>
      <c r="P40" s="32"/>
      <c r="Q40" s="40">
        <f t="shared" si="7"/>
        <v>0</v>
      </c>
      <c r="R40" s="42">
        <f t="shared" si="2"/>
        <v>0</v>
      </c>
      <c r="S40" s="40">
        <f t="shared" si="3"/>
        <v>0</v>
      </c>
      <c r="T40" s="23">
        <f t="shared" si="4"/>
        <v>0</v>
      </c>
    </row>
    <row r="41" spans="2:29" x14ac:dyDescent="0.25">
      <c r="B41" s="24"/>
      <c r="C41" s="25"/>
      <c r="D41" s="25"/>
      <c r="E41" s="25"/>
      <c r="F41" s="25"/>
      <c r="G41" s="28"/>
      <c r="H41" s="29"/>
      <c r="I41" s="19"/>
      <c r="J41" s="43">
        <f t="shared" si="5"/>
        <v>0</v>
      </c>
      <c r="K41" s="27"/>
      <c r="L41" s="40">
        <f t="shared" si="6"/>
        <v>0</v>
      </c>
      <c r="M41" s="41">
        <f t="shared" si="0"/>
        <v>0</v>
      </c>
      <c r="N41" s="27">
        <v>0</v>
      </c>
      <c r="O41" s="40">
        <f t="shared" si="1"/>
        <v>0</v>
      </c>
      <c r="P41" s="32"/>
      <c r="Q41" s="40">
        <f t="shared" si="7"/>
        <v>0</v>
      </c>
      <c r="R41" s="42">
        <f t="shared" si="2"/>
        <v>0</v>
      </c>
      <c r="S41" s="40">
        <f t="shared" si="3"/>
        <v>0</v>
      </c>
      <c r="T41" s="23">
        <f t="shared" si="4"/>
        <v>0</v>
      </c>
      <c r="Z41" s="35"/>
    </row>
    <row r="42" spans="2:29" x14ac:dyDescent="0.25">
      <c r="B42" s="24"/>
      <c r="C42" s="25"/>
      <c r="D42" s="25"/>
      <c r="E42" s="25"/>
      <c r="F42" s="25"/>
      <c r="G42" s="28"/>
      <c r="H42" s="29"/>
      <c r="I42" s="19"/>
      <c r="J42" s="43">
        <f t="shared" si="5"/>
        <v>0</v>
      </c>
      <c r="K42" s="27"/>
      <c r="L42" s="40">
        <f t="shared" si="6"/>
        <v>0</v>
      </c>
      <c r="M42" s="41">
        <f t="shared" si="0"/>
        <v>0</v>
      </c>
      <c r="N42" s="27">
        <v>0</v>
      </c>
      <c r="O42" s="40">
        <f t="shared" si="1"/>
        <v>0</v>
      </c>
      <c r="P42" s="32"/>
      <c r="Q42" s="40">
        <f t="shared" si="7"/>
        <v>0</v>
      </c>
      <c r="R42" s="42">
        <f t="shared" si="2"/>
        <v>0</v>
      </c>
      <c r="S42" s="40">
        <f t="shared" si="3"/>
        <v>0</v>
      </c>
      <c r="T42" s="23">
        <f t="shared" si="4"/>
        <v>0</v>
      </c>
    </row>
    <row r="43" spans="2:29" x14ac:dyDescent="0.25">
      <c r="B43" s="24"/>
      <c r="C43" s="25"/>
      <c r="D43" s="25"/>
      <c r="E43" s="25"/>
      <c r="F43" s="25"/>
      <c r="G43" s="28"/>
      <c r="H43" s="29"/>
      <c r="I43" s="19"/>
      <c r="J43" s="43">
        <f t="shared" si="5"/>
        <v>0</v>
      </c>
      <c r="K43" s="27"/>
      <c r="L43" s="40">
        <f t="shared" si="6"/>
        <v>0</v>
      </c>
      <c r="M43" s="41">
        <f t="shared" si="0"/>
        <v>0</v>
      </c>
      <c r="N43" s="27">
        <v>0</v>
      </c>
      <c r="O43" s="40">
        <f t="shared" si="1"/>
        <v>0</v>
      </c>
      <c r="P43" s="32"/>
      <c r="Q43" s="40">
        <f t="shared" si="7"/>
        <v>0</v>
      </c>
      <c r="R43" s="42">
        <f t="shared" si="2"/>
        <v>0</v>
      </c>
      <c r="S43" s="40">
        <f t="shared" si="3"/>
        <v>0</v>
      </c>
      <c r="T43" s="23">
        <f t="shared" si="4"/>
        <v>0</v>
      </c>
      <c r="V43" s="34"/>
      <c r="W43" s="35"/>
    </row>
    <row r="44" spans="2:29" x14ac:dyDescent="0.25">
      <c r="B44" s="24"/>
      <c r="C44" s="25"/>
      <c r="D44" s="25"/>
      <c r="E44" s="25"/>
      <c r="F44" s="25"/>
      <c r="G44" s="28"/>
      <c r="H44" s="29"/>
      <c r="I44" s="19"/>
      <c r="J44" s="43">
        <f t="shared" si="5"/>
        <v>0</v>
      </c>
      <c r="K44" s="27"/>
      <c r="L44" s="40">
        <f t="shared" si="6"/>
        <v>0</v>
      </c>
      <c r="M44" s="41">
        <f t="shared" si="0"/>
        <v>0</v>
      </c>
      <c r="N44" s="27">
        <v>0</v>
      </c>
      <c r="O44" s="40">
        <f t="shared" si="1"/>
        <v>0</v>
      </c>
      <c r="P44" s="32"/>
      <c r="Q44" s="40">
        <f t="shared" si="7"/>
        <v>0</v>
      </c>
      <c r="R44" s="42">
        <f t="shared" si="2"/>
        <v>0</v>
      </c>
      <c r="S44" s="40">
        <f t="shared" si="3"/>
        <v>0</v>
      </c>
      <c r="T44" s="23">
        <f t="shared" si="4"/>
        <v>0</v>
      </c>
    </row>
    <row r="45" spans="2:29" x14ac:dyDescent="0.25">
      <c r="B45" s="24"/>
      <c r="C45" s="25"/>
      <c r="D45" s="25"/>
      <c r="E45" s="25"/>
      <c r="F45" s="25"/>
      <c r="G45" s="28"/>
      <c r="H45" s="29"/>
      <c r="I45" s="19"/>
      <c r="J45" s="43">
        <f t="shared" si="5"/>
        <v>0</v>
      </c>
      <c r="K45" s="27"/>
      <c r="L45" s="40">
        <f t="shared" si="6"/>
        <v>0</v>
      </c>
      <c r="M45" s="41">
        <f t="shared" si="0"/>
        <v>0</v>
      </c>
      <c r="N45" s="27">
        <v>0</v>
      </c>
      <c r="O45" s="40">
        <f t="shared" si="1"/>
        <v>0</v>
      </c>
      <c r="P45" s="32"/>
      <c r="Q45" s="40">
        <f t="shared" si="7"/>
        <v>0</v>
      </c>
      <c r="R45" s="42">
        <f t="shared" si="2"/>
        <v>0</v>
      </c>
      <c r="S45" s="40">
        <f t="shared" si="3"/>
        <v>0</v>
      </c>
      <c r="T45" s="23">
        <f t="shared" si="4"/>
        <v>0</v>
      </c>
    </row>
    <row r="46" spans="2:29" x14ac:dyDescent="0.25">
      <c r="B46" s="24"/>
      <c r="C46" s="25"/>
      <c r="D46" s="25"/>
      <c r="E46" s="25"/>
      <c r="F46" s="25"/>
      <c r="G46" s="28"/>
      <c r="H46" s="29"/>
      <c r="I46" s="19"/>
      <c r="J46" s="43">
        <f t="shared" si="5"/>
        <v>0</v>
      </c>
      <c r="K46" s="27"/>
      <c r="L46" s="40">
        <f t="shared" si="6"/>
        <v>0</v>
      </c>
      <c r="M46" s="41">
        <f t="shared" si="0"/>
        <v>0</v>
      </c>
      <c r="N46" s="27">
        <v>0</v>
      </c>
      <c r="O46" s="40">
        <f t="shared" si="1"/>
        <v>0</v>
      </c>
      <c r="P46" s="32"/>
      <c r="Q46" s="40">
        <f t="shared" si="7"/>
        <v>0</v>
      </c>
      <c r="R46" s="42">
        <f t="shared" si="2"/>
        <v>0</v>
      </c>
      <c r="S46" s="40">
        <f t="shared" si="3"/>
        <v>0</v>
      </c>
      <c r="T46" s="23">
        <f t="shared" si="4"/>
        <v>0</v>
      </c>
    </row>
    <row r="47" spans="2:29" x14ac:dyDescent="0.25">
      <c r="B47" s="24"/>
      <c r="C47" s="25"/>
      <c r="D47" s="25"/>
      <c r="E47" s="25"/>
      <c r="F47" s="25"/>
      <c r="G47" s="28"/>
      <c r="H47" s="29"/>
      <c r="I47" s="19"/>
      <c r="J47" s="43">
        <f t="shared" si="5"/>
        <v>0</v>
      </c>
      <c r="K47" s="27"/>
      <c r="L47" s="40">
        <f t="shared" si="6"/>
        <v>0</v>
      </c>
      <c r="M47" s="41">
        <f t="shared" si="0"/>
        <v>0</v>
      </c>
      <c r="N47" s="27">
        <v>0</v>
      </c>
      <c r="O47" s="40">
        <f t="shared" si="1"/>
        <v>0</v>
      </c>
      <c r="P47" s="32"/>
      <c r="Q47" s="40">
        <f t="shared" si="7"/>
        <v>0</v>
      </c>
      <c r="R47" s="42">
        <f t="shared" si="2"/>
        <v>0</v>
      </c>
      <c r="S47" s="40">
        <f t="shared" si="3"/>
        <v>0</v>
      </c>
      <c r="T47" s="23">
        <f t="shared" si="4"/>
        <v>0</v>
      </c>
    </row>
    <row r="48" spans="2:29" x14ac:dyDescent="0.25">
      <c r="B48" s="24"/>
      <c r="C48" s="25"/>
      <c r="D48" s="25"/>
      <c r="E48" s="25"/>
      <c r="F48" s="25"/>
      <c r="G48" s="28"/>
      <c r="H48" s="29"/>
      <c r="I48" s="19"/>
      <c r="J48" s="43">
        <f t="shared" si="5"/>
        <v>0</v>
      </c>
      <c r="K48" s="27"/>
      <c r="L48" s="40">
        <f t="shared" si="6"/>
        <v>0</v>
      </c>
      <c r="M48" s="41">
        <f t="shared" si="0"/>
        <v>0</v>
      </c>
      <c r="N48" s="27">
        <v>0</v>
      </c>
      <c r="O48" s="40">
        <f t="shared" si="1"/>
        <v>0</v>
      </c>
      <c r="P48" s="32"/>
      <c r="Q48" s="40">
        <f t="shared" si="7"/>
        <v>0</v>
      </c>
      <c r="R48" s="42">
        <f t="shared" si="2"/>
        <v>0</v>
      </c>
      <c r="S48" s="40">
        <f t="shared" si="3"/>
        <v>0</v>
      </c>
      <c r="T48" s="23">
        <f t="shared" si="4"/>
        <v>0</v>
      </c>
    </row>
    <row r="49" spans="2:22" x14ac:dyDescent="0.25">
      <c r="B49" s="24"/>
      <c r="C49" s="25"/>
      <c r="D49" s="25"/>
      <c r="E49" s="25"/>
      <c r="F49" s="25"/>
      <c r="G49" s="28"/>
      <c r="H49" s="29"/>
      <c r="I49" s="19"/>
      <c r="J49" s="43">
        <f t="shared" si="5"/>
        <v>0</v>
      </c>
      <c r="K49" s="27"/>
      <c r="L49" s="40">
        <f t="shared" si="6"/>
        <v>0</v>
      </c>
      <c r="M49" s="41">
        <f t="shared" si="0"/>
        <v>0</v>
      </c>
      <c r="N49" s="27">
        <v>0</v>
      </c>
      <c r="O49" s="40">
        <f t="shared" si="1"/>
        <v>0</v>
      </c>
      <c r="P49" s="32"/>
      <c r="Q49" s="40">
        <f t="shared" si="7"/>
        <v>0</v>
      </c>
      <c r="R49" s="42">
        <f t="shared" si="2"/>
        <v>0</v>
      </c>
      <c r="S49" s="40">
        <f t="shared" si="3"/>
        <v>0</v>
      </c>
      <c r="T49" s="23">
        <f t="shared" si="4"/>
        <v>0</v>
      </c>
    </row>
    <row r="50" spans="2:22" x14ac:dyDescent="0.25">
      <c r="B50" s="24"/>
      <c r="C50" s="25"/>
      <c r="D50" s="25"/>
      <c r="E50" s="25"/>
      <c r="F50" s="25"/>
      <c r="G50" s="28"/>
      <c r="H50" s="29"/>
      <c r="I50" s="19"/>
      <c r="J50" s="43">
        <f t="shared" si="5"/>
        <v>0</v>
      </c>
      <c r="K50" s="27"/>
      <c r="L50" s="40">
        <f t="shared" si="6"/>
        <v>0</v>
      </c>
      <c r="M50" s="41">
        <f t="shared" si="0"/>
        <v>0</v>
      </c>
      <c r="N50" s="27">
        <v>0</v>
      </c>
      <c r="O50" s="40">
        <f t="shared" si="1"/>
        <v>0</v>
      </c>
      <c r="P50" s="32"/>
      <c r="Q50" s="40">
        <f t="shared" si="7"/>
        <v>0</v>
      </c>
      <c r="R50" s="42">
        <f t="shared" si="2"/>
        <v>0</v>
      </c>
      <c r="S50" s="40">
        <f t="shared" si="3"/>
        <v>0</v>
      </c>
      <c r="T50" s="23">
        <f t="shared" si="4"/>
        <v>0</v>
      </c>
    </row>
    <row r="51" spans="2:22" x14ac:dyDescent="0.25">
      <c r="B51" s="24"/>
      <c r="C51" s="25"/>
      <c r="D51" s="25"/>
      <c r="E51" s="25"/>
      <c r="F51" s="25"/>
      <c r="G51" s="28"/>
      <c r="H51" s="29"/>
      <c r="I51" s="19"/>
      <c r="J51" s="43">
        <f t="shared" si="5"/>
        <v>0</v>
      </c>
      <c r="K51" s="27"/>
      <c r="L51" s="40">
        <f t="shared" si="6"/>
        <v>0</v>
      </c>
      <c r="M51" s="41">
        <f t="shared" si="0"/>
        <v>0</v>
      </c>
      <c r="N51" s="27">
        <v>0</v>
      </c>
      <c r="O51" s="40">
        <f t="shared" si="1"/>
        <v>0</v>
      </c>
      <c r="P51" s="32"/>
      <c r="Q51" s="40">
        <f t="shared" si="7"/>
        <v>0</v>
      </c>
      <c r="R51" s="42">
        <f t="shared" si="2"/>
        <v>0</v>
      </c>
      <c r="S51" s="40">
        <f t="shared" si="3"/>
        <v>0</v>
      </c>
      <c r="T51" s="23">
        <f t="shared" si="4"/>
        <v>0</v>
      </c>
    </row>
    <row r="52" spans="2:22" x14ac:dyDescent="0.25">
      <c r="B52" s="24"/>
      <c r="C52" s="25"/>
      <c r="D52" s="25"/>
      <c r="E52" s="25"/>
      <c r="F52" s="25"/>
      <c r="G52" s="28"/>
      <c r="H52" s="29"/>
      <c r="I52" s="19"/>
      <c r="J52" s="43">
        <f t="shared" si="5"/>
        <v>0</v>
      </c>
      <c r="K52" s="27"/>
      <c r="L52" s="40">
        <f t="shared" si="6"/>
        <v>0</v>
      </c>
      <c r="M52" s="41">
        <f t="shared" si="0"/>
        <v>0</v>
      </c>
      <c r="N52" s="27">
        <v>0</v>
      </c>
      <c r="O52" s="40">
        <f t="shared" si="1"/>
        <v>0</v>
      </c>
      <c r="P52" s="32"/>
      <c r="Q52" s="40">
        <f t="shared" si="7"/>
        <v>0</v>
      </c>
      <c r="R52" s="42">
        <f t="shared" si="2"/>
        <v>0</v>
      </c>
      <c r="S52" s="40">
        <f t="shared" si="3"/>
        <v>0</v>
      </c>
      <c r="T52" s="23">
        <f t="shared" si="4"/>
        <v>0</v>
      </c>
    </row>
    <row r="53" spans="2:22" x14ac:dyDescent="0.25">
      <c r="B53" s="24"/>
      <c r="C53" s="25"/>
      <c r="D53" s="25"/>
      <c r="E53" s="25"/>
      <c r="F53" s="25"/>
      <c r="G53" s="28"/>
      <c r="H53" s="29"/>
      <c r="I53" s="19"/>
      <c r="J53" s="43">
        <f t="shared" si="5"/>
        <v>0</v>
      </c>
      <c r="K53" s="27"/>
      <c r="L53" s="40">
        <f t="shared" si="6"/>
        <v>0</v>
      </c>
      <c r="M53" s="41">
        <f t="shared" si="0"/>
        <v>0</v>
      </c>
      <c r="N53" s="27">
        <v>0</v>
      </c>
      <c r="O53" s="40">
        <f t="shared" si="1"/>
        <v>0</v>
      </c>
      <c r="P53" s="32"/>
      <c r="Q53" s="40">
        <f t="shared" si="7"/>
        <v>0</v>
      </c>
      <c r="R53" s="42">
        <f t="shared" si="2"/>
        <v>0</v>
      </c>
      <c r="S53" s="40">
        <f t="shared" si="3"/>
        <v>0</v>
      </c>
      <c r="T53" s="23">
        <f t="shared" si="4"/>
        <v>0</v>
      </c>
    </row>
    <row r="54" spans="2:22" x14ac:dyDescent="0.25">
      <c r="B54" s="24"/>
      <c r="C54" s="25"/>
      <c r="D54" s="25"/>
      <c r="E54" s="25"/>
      <c r="F54" s="25"/>
      <c r="G54" s="28"/>
      <c r="H54" s="29"/>
      <c r="I54" s="19"/>
      <c r="J54" s="43">
        <f t="shared" si="5"/>
        <v>0</v>
      </c>
      <c r="K54" s="27"/>
      <c r="L54" s="40">
        <f t="shared" si="6"/>
        <v>0</v>
      </c>
      <c r="M54" s="41">
        <f t="shared" si="0"/>
        <v>0</v>
      </c>
      <c r="N54" s="27">
        <v>0</v>
      </c>
      <c r="O54" s="40">
        <f t="shared" si="1"/>
        <v>0</v>
      </c>
      <c r="P54" s="32"/>
      <c r="Q54" s="40">
        <f t="shared" si="7"/>
        <v>0</v>
      </c>
      <c r="R54" s="42">
        <f t="shared" si="2"/>
        <v>0</v>
      </c>
      <c r="S54" s="40">
        <f t="shared" si="3"/>
        <v>0</v>
      </c>
      <c r="T54" s="23">
        <f t="shared" si="4"/>
        <v>0</v>
      </c>
    </row>
    <row r="55" spans="2:22" x14ac:dyDescent="0.25">
      <c r="B55" s="24"/>
      <c r="C55" s="25"/>
      <c r="D55" s="25"/>
      <c r="E55" s="25"/>
      <c r="F55" s="25"/>
      <c r="G55" s="28"/>
      <c r="H55" s="29"/>
      <c r="I55" s="19"/>
      <c r="J55" s="43">
        <f t="shared" si="5"/>
        <v>0</v>
      </c>
      <c r="K55" s="27"/>
      <c r="L55" s="40">
        <f t="shared" si="6"/>
        <v>0</v>
      </c>
      <c r="M55" s="41">
        <f t="shared" si="0"/>
        <v>0</v>
      </c>
      <c r="N55" s="27">
        <v>0</v>
      </c>
      <c r="O55" s="40">
        <f t="shared" si="1"/>
        <v>0</v>
      </c>
      <c r="P55" s="32"/>
      <c r="Q55" s="40">
        <f t="shared" si="7"/>
        <v>0</v>
      </c>
      <c r="R55" s="42">
        <f t="shared" si="2"/>
        <v>0</v>
      </c>
      <c r="S55" s="40">
        <f t="shared" si="3"/>
        <v>0</v>
      </c>
      <c r="T55" s="23">
        <f t="shared" si="4"/>
        <v>0</v>
      </c>
    </row>
    <row r="56" spans="2:22" x14ac:dyDescent="0.25">
      <c r="B56" s="24"/>
      <c r="C56" s="25"/>
      <c r="D56" s="25"/>
      <c r="E56" s="25"/>
      <c r="F56" s="25"/>
      <c r="G56" s="28"/>
      <c r="H56" s="29"/>
      <c r="I56" s="19"/>
      <c r="J56" s="43">
        <f t="shared" si="5"/>
        <v>0</v>
      </c>
      <c r="K56" s="27"/>
      <c r="L56" s="40">
        <f t="shared" si="6"/>
        <v>0</v>
      </c>
      <c r="M56" s="41">
        <f t="shared" si="0"/>
        <v>0</v>
      </c>
      <c r="N56" s="27">
        <v>0</v>
      </c>
      <c r="O56" s="40">
        <f t="shared" si="1"/>
        <v>0</v>
      </c>
      <c r="P56" s="32"/>
      <c r="Q56" s="40">
        <f t="shared" si="7"/>
        <v>0</v>
      </c>
      <c r="R56" s="42">
        <f t="shared" si="2"/>
        <v>0</v>
      </c>
      <c r="S56" s="40">
        <f t="shared" si="3"/>
        <v>0</v>
      </c>
      <c r="T56" s="23">
        <f t="shared" si="4"/>
        <v>0</v>
      </c>
    </row>
    <row r="57" spans="2:22" x14ac:dyDescent="0.25">
      <c r="B57" s="24"/>
      <c r="C57" s="25"/>
      <c r="D57" s="25"/>
      <c r="E57" s="25"/>
      <c r="F57" s="25"/>
      <c r="G57" s="28"/>
      <c r="H57" s="29"/>
      <c r="I57" s="19"/>
      <c r="J57" s="43">
        <f t="shared" si="5"/>
        <v>0</v>
      </c>
      <c r="K57" s="27"/>
      <c r="L57" s="40">
        <f t="shared" si="6"/>
        <v>0</v>
      </c>
      <c r="M57" s="41">
        <f t="shared" si="0"/>
        <v>0</v>
      </c>
      <c r="N57" s="27">
        <v>0</v>
      </c>
      <c r="O57" s="40">
        <f t="shared" si="1"/>
        <v>0</v>
      </c>
      <c r="P57" s="32"/>
      <c r="Q57" s="40">
        <f t="shared" si="7"/>
        <v>0</v>
      </c>
      <c r="R57" s="42">
        <f t="shared" si="2"/>
        <v>0</v>
      </c>
      <c r="S57" s="40">
        <f t="shared" si="3"/>
        <v>0</v>
      </c>
      <c r="T57" s="23">
        <f t="shared" si="4"/>
        <v>0</v>
      </c>
    </row>
    <row r="58" spans="2:22" x14ac:dyDescent="0.25">
      <c r="B58" s="24"/>
      <c r="C58" s="25"/>
      <c r="D58" s="25"/>
      <c r="E58" s="25"/>
      <c r="F58" s="25"/>
      <c r="G58" s="28"/>
      <c r="H58" s="29"/>
      <c r="I58" s="19"/>
      <c r="J58" s="43">
        <f t="shared" si="5"/>
        <v>0</v>
      </c>
      <c r="K58" s="27"/>
      <c r="L58" s="40">
        <f t="shared" si="6"/>
        <v>0</v>
      </c>
      <c r="M58" s="41">
        <f t="shared" si="0"/>
        <v>0</v>
      </c>
      <c r="N58" s="27">
        <v>0</v>
      </c>
      <c r="O58" s="40">
        <f t="shared" si="1"/>
        <v>0</v>
      </c>
      <c r="P58" s="32"/>
      <c r="Q58" s="40">
        <f t="shared" si="7"/>
        <v>0</v>
      </c>
      <c r="R58" s="42">
        <f t="shared" si="2"/>
        <v>0</v>
      </c>
      <c r="S58" s="40">
        <f t="shared" si="3"/>
        <v>0</v>
      </c>
      <c r="T58" s="23">
        <f t="shared" si="4"/>
        <v>0</v>
      </c>
    </row>
    <row r="59" spans="2:22" x14ac:dyDescent="0.25">
      <c r="B59" s="24"/>
      <c r="C59" s="25"/>
      <c r="D59" s="25"/>
      <c r="E59" s="25"/>
      <c r="F59" s="25"/>
      <c r="G59" s="28"/>
      <c r="H59" s="29"/>
      <c r="I59" s="19"/>
      <c r="J59" s="43">
        <f t="shared" si="5"/>
        <v>0</v>
      </c>
      <c r="K59" s="27"/>
      <c r="L59" s="40">
        <f t="shared" si="6"/>
        <v>0</v>
      </c>
      <c r="M59" s="41">
        <f t="shared" si="0"/>
        <v>0</v>
      </c>
      <c r="N59" s="27">
        <v>0</v>
      </c>
      <c r="O59" s="40">
        <f t="shared" si="1"/>
        <v>0</v>
      </c>
      <c r="P59" s="32"/>
      <c r="Q59" s="40">
        <f t="shared" si="7"/>
        <v>0</v>
      </c>
      <c r="R59" s="42">
        <f t="shared" si="2"/>
        <v>0</v>
      </c>
      <c r="S59" s="40">
        <f t="shared" si="3"/>
        <v>0</v>
      </c>
      <c r="T59" s="23">
        <f t="shared" si="4"/>
        <v>0</v>
      </c>
    </row>
    <row r="60" spans="2:22" x14ac:dyDescent="0.25">
      <c r="B60" s="24"/>
      <c r="C60" s="25"/>
      <c r="D60" s="25"/>
      <c r="E60" s="25"/>
      <c r="F60" s="25"/>
      <c r="G60" s="28"/>
      <c r="H60" s="29"/>
      <c r="I60" s="19"/>
      <c r="J60" s="43">
        <f t="shared" si="5"/>
        <v>0</v>
      </c>
      <c r="K60" s="27"/>
      <c r="L60" s="40">
        <f t="shared" si="6"/>
        <v>0</v>
      </c>
      <c r="M60" s="41">
        <f t="shared" si="0"/>
        <v>0</v>
      </c>
      <c r="N60" s="27">
        <v>0</v>
      </c>
      <c r="O60" s="40">
        <f t="shared" si="1"/>
        <v>0</v>
      </c>
      <c r="P60" s="32"/>
      <c r="Q60" s="40">
        <f t="shared" si="7"/>
        <v>0</v>
      </c>
      <c r="R60" s="42">
        <f t="shared" si="2"/>
        <v>0</v>
      </c>
      <c r="S60" s="40">
        <f t="shared" si="3"/>
        <v>0</v>
      </c>
      <c r="T60" s="23">
        <f t="shared" si="4"/>
        <v>0</v>
      </c>
    </row>
    <row r="61" spans="2:22" x14ac:dyDescent="0.25">
      <c r="B61" s="24"/>
      <c r="C61" s="25"/>
      <c r="D61" s="25"/>
      <c r="E61" s="25"/>
      <c r="F61" s="25"/>
      <c r="G61" s="28"/>
      <c r="H61" s="29"/>
      <c r="I61" s="19"/>
      <c r="J61" s="43">
        <f t="shared" si="5"/>
        <v>0</v>
      </c>
      <c r="K61" s="27"/>
      <c r="L61" s="40">
        <f t="shared" si="6"/>
        <v>0</v>
      </c>
      <c r="M61" s="41">
        <f t="shared" si="0"/>
        <v>0</v>
      </c>
      <c r="N61" s="27">
        <v>0</v>
      </c>
      <c r="O61" s="40">
        <f t="shared" si="1"/>
        <v>0</v>
      </c>
      <c r="P61" s="32"/>
      <c r="Q61" s="40">
        <f t="shared" si="7"/>
        <v>0</v>
      </c>
      <c r="R61" s="42">
        <f t="shared" si="2"/>
        <v>0</v>
      </c>
      <c r="S61" s="40">
        <f t="shared" si="3"/>
        <v>0</v>
      </c>
      <c r="T61" s="23">
        <f t="shared" si="4"/>
        <v>0</v>
      </c>
    </row>
    <row r="62" spans="2:22" x14ac:dyDescent="0.25">
      <c r="B62" s="24"/>
      <c r="C62" s="25"/>
      <c r="D62" s="25"/>
      <c r="E62" s="25"/>
      <c r="F62" s="25"/>
      <c r="G62" s="26"/>
      <c r="H62" s="20"/>
      <c r="I62" s="19"/>
      <c r="J62" s="43">
        <f t="shared" si="5"/>
        <v>0</v>
      </c>
      <c r="K62" s="27"/>
      <c r="L62" s="40">
        <f t="shared" si="6"/>
        <v>0</v>
      </c>
      <c r="M62" s="41">
        <f t="shared" si="0"/>
        <v>0</v>
      </c>
      <c r="N62" s="27">
        <v>0</v>
      </c>
      <c r="O62" s="40">
        <f t="shared" si="1"/>
        <v>0</v>
      </c>
      <c r="P62" s="32"/>
      <c r="Q62" s="40">
        <f t="shared" si="7"/>
        <v>0</v>
      </c>
      <c r="R62" s="42">
        <f t="shared" si="2"/>
        <v>0</v>
      </c>
      <c r="S62" s="40">
        <f t="shared" si="3"/>
        <v>0</v>
      </c>
      <c r="T62" s="23">
        <f t="shared" si="4"/>
        <v>0</v>
      </c>
      <c r="U62" s="37"/>
      <c r="V62" s="105"/>
    </row>
    <row r="63" spans="2:22" x14ac:dyDescent="0.25">
      <c r="B63" s="24"/>
      <c r="C63" s="25"/>
      <c r="D63" s="25"/>
      <c r="E63" s="25"/>
      <c r="F63" s="25"/>
      <c r="G63" s="28"/>
      <c r="H63" s="29"/>
      <c r="I63" s="19"/>
      <c r="J63" s="43">
        <f t="shared" si="5"/>
        <v>0</v>
      </c>
      <c r="K63" s="27"/>
      <c r="L63" s="40">
        <f t="shared" si="6"/>
        <v>0</v>
      </c>
      <c r="M63" s="41">
        <f t="shared" si="0"/>
        <v>0</v>
      </c>
      <c r="N63" s="27">
        <v>0</v>
      </c>
      <c r="O63" s="40">
        <f t="shared" si="1"/>
        <v>0</v>
      </c>
      <c r="P63" s="32"/>
      <c r="Q63" s="40">
        <f t="shared" si="7"/>
        <v>0</v>
      </c>
      <c r="R63" s="42">
        <f t="shared" si="2"/>
        <v>0</v>
      </c>
      <c r="S63" s="40">
        <f t="shared" si="3"/>
        <v>0</v>
      </c>
      <c r="T63" s="23">
        <f t="shared" si="4"/>
        <v>0</v>
      </c>
      <c r="U63" s="37"/>
    </row>
    <row r="64" spans="2:22" x14ac:dyDescent="0.25">
      <c r="B64" s="24"/>
      <c r="C64" s="25"/>
      <c r="D64" s="25"/>
      <c r="E64" s="25"/>
      <c r="F64" s="25"/>
      <c r="G64" s="28"/>
      <c r="H64" s="29"/>
      <c r="I64" s="19"/>
      <c r="J64" s="43">
        <f t="shared" si="5"/>
        <v>0</v>
      </c>
      <c r="K64" s="27"/>
      <c r="L64" s="40">
        <f t="shared" si="6"/>
        <v>0</v>
      </c>
      <c r="M64" s="41">
        <f t="shared" si="0"/>
        <v>0</v>
      </c>
      <c r="N64" s="27">
        <v>0</v>
      </c>
      <c r="O64" s="40">
        <f t="shared" si="1"/>
        <v>0</v>
      </c>
      <c r="P64" s="32"/>
      <c r="Q64" s="40">
        <f t="shared" si="7"/>
        <v>0</v>
      </c>
      <c r="R64" s="42">
        <f t="shared" si="2"/>
        <v>0</v>
      </c>
      <c r="S64" s="40">
        <f t="shared" si="3"/>
        <v>0</v>
      </c>
      <c r="T64" s="23">
        <f t="shared" si="4"/>
        <v>0</v>
      </c>
      <c r="U64" s="37"/>
    </row>
    <row r="65" spans="2:22" x14ac:dyDescent="0.25">
      <c r="B65" s="24"/>
      <c r="C65" s="25"/>
      <c r="D65" s="25"/>
      <c r="E65" s="25"/>
      <c r="F65" s="25"/>
      <c r="G65" s="28"/>
      <c r="H65" s="29"/>
      <c r="I65" s="19"/>
      <c r="J65" s="43">
        <f t="shared" si="5"/>
        <v>0</v>
      </c>
      <c r="K65" s="27"/>
      <c r="L65" s="40">
        <f t="shared" si="6"/>
        <v>0</v>
      </c>
      <c r="M65" s="41">
        <f t="shared" si="0"/>
        <v>0</v>
      </c>
      <c r="N65" s="27">
        <v>0</v>
      </c>
      <c r="O65" s="40">
        <f t="shared" si="1"/>
        <v>0</v>
      </c>
      <c r="P65" s="32"/>
      <c r="Q65" s="40">
        <f t="shared" si="7"/>
        <v>0</v>
      </c>
      <c r="R65" s="42">
        <f t="shared" si="2"/>
        <v>0</v>
      </c>
      <c r="S65" s="40">
        <f t="shared" si="3"/>
        <v>0</v>
      </c>
      <c r="T65" s="23">
        <f t="shared" si="4"/>
        <v>0</v>
      </c>
      <c r="U65" s="37"/>
      <c r="V65" s="106"/>
    </row>
    <row r="66" spans="2:22" x14ac:dyDescent="0.25">
      <c r="B66" s="24"/>
      <c r="C66" s="25"/>
      <c r="D66" s="25"/>
      <c r="E66" s="25"/>
      <c r="F66" s="25"/>
      <c r="G66" s="28"/>
      <c r="H66" s="29"/>
      <c r="I66" s="19"/>
      <c r="J66" s="43">
        <f t="shared" si="5"/>
        <v>0</v>
      </c>
      <c r="K66" s="31"/>
      <c r="L66" s="40">
        <f t="shared" si="6"/>
        <v>0</v>
      </c>
      <c r="M66" s="41">
        <f t="shared" si="0"/>
        <v>0</v>
      </c>
      <c r="N66" s="27">
        <v>0</v>
      </c>
      <c r="O66" s="40">
        <f t="shared" si="1"/>
        <v>0</v>
      </c>
      <c r="P66" s="32"/>
      <c r="Q66" s="40">
        <f t="shared" si="7"/>
        <v>0</v>
      </c>
      <c r="R66" s="42">
        <f t="shared" si="2"/>
        <v>0</v>
      </c>
      <c r="S66" s="40">
        <f t="shared" si="3"/>
        <v>0</v>
      </c>
      <c r="T66" s="23">
        <f t="shared" si="4"/>
        <v>0</v>
      </c>
      <c r="U66" s="37"/>
    </row>
    <row r="67" spans="2:22" x14ac:dyDescent="0.25">
      <c r="B67" s="24"/>
      <c r="C67" s="25"/>
      <c r="D67" s="25"/>
      <c r="E67" s="25"/>
      <c r="F67" s="25"/>
      <c r="G67" s="28"/>
      <c r="H67" s="29"/>
      <c r="I67" s="19"/>
      <c r="J67" s="43">
        <f t="shared" si="5"/>
        <v>0</v>
      </c>
      <c r="K67" s="31"/>
      <c r="L67" s="40">
        <f t="shared" si="6"/>
        <v>0</v>
      </c>
      <c r="M67" s="41">
        <f t="shared" si="0"/>
        <v>0</v>
      </c>
      <c r="N67" s="27">
        <v>0</v>
      </c>
      <c r="O67" s="40">
        <f t="shared" si="1"/>
        <v>0</v>
      </c>
      <c r="P67" s="32"/>
      <c r="Q67" s="40">
        <f t="shared" si="7"/>
        <v>0</v>
      </c>
      <c r="R67" s="42">
        <f t="shared" si="2"/>
        <v>0</v>
      </c>
      <c r="S67" s="40">
        <f t="shared" si="3"/>
        <v>0</v>
      </c>
      <c r="T67" s="23">
        <f t="shared" si="4"/>
        <v>0</v>
      </c>
    </row>
    <row r="68" spans="2:22" x14ac:dyDescent="0.25">
      <c r="B68" s="24"/>
      <c r="C68" s="25"/>
      <c r="D68" s="25"/>
      <c r="E68" s="25"/>
      <c r="F68" s="25"/>
      <c r="G68" s="28"/>
      <c r="H68" s="29"/>
      <c r="I68" s="19"/>
      <c r="J68" s="43">
        <f t="shared" si="5"/>
        <v>0</v>
      </c>
      <c r="K68" s="27"/>
      <c r="L68" s="40">
        <f t="shared" si="6"/>
        <v>0</v>
      </c>
      <c r="M68" s="41">
        <f t="shared" ref="M68:M104" si="8">K68*H68</f>
        <v>0</v>
      </c>
      <c r="N68" s="27">
        <v>0</v>
      </c>
      <c r="O68" s="40">
        <f t="shared" ref="O68:O104" si="9">IF(H68="",0,M68-N68)</f>
        <v>0</v>
      </c>
      <c r="P68" s="32"/>
      <c r="Q68" s="40">
        <f t="shared" si="7"/>
        <v>0</v>
      </c>
      <c r="R68" s="42">
        <f t="shared" ref="R68:R104" si="10">IF(J68=0,O68-Q68,0)</f>
        <v>0</v>
      </c>
      <c r="S68" s="40">
        <f t="shared" ref="S68:S104" si="11">IF(J68=0,0,(J68*K68)-N68-(J68*K68-N68)*P68)</f>
        <v>0</v>
      </c>
      <c r="T68" s="23">
        <f t="shared" ref="T68:T104" si="12">R68+S68</f>
        <v>0</v>
      </c>
    </row>
    <row r="69" spans="2:22" x14ac:dyDescent="0.25">
      <c r="B69" s="24"/>
      <c r="C69" s="25"/>
      <c r="D69" s="25"/>
      <c r="E69" s="25"/>
      <c r="F69" s="25"/>
      <c r="G69" s="28"/>
      <c r="H69" s="29"/>
      <c r="I69" s="19"/>
      <c r="J69" s="43">
        <f t="shared" ref="J69:J104" si="13">G69-H69-I69</f>
        <v>0</v>
      </c>
      <c r="K69" s="31"/>
      <c r="L69" s="40">
        <f t="shared" ref="L69:L104" si="14">K69/17</f>
        <v>0</v>
      </c>
      <c r="M69" s="41">
        <f t="shared" si="8"/>
        <v>0</v>
      </c>
      <c r="N69" s="27">
        <v>0</v>
      </c>
      <c r="O69" s="40">
        <f t="shared" si="9"/>
        <v>0</v>
      </c>
      <c r="P69" s="32"/>
      <c r="Q69" s="40">
        <f t="shared" ref="Q69:Q104" si="15">O69*P69</f>
        <v>0</v>
      </c>
      <c r="R69" s="42">
        <f t="shared" si="10"/>
        <v>0</v>
      </c>
      <c r="S69" s="40">
        <f t="shared" si="11"/>
        <v>0</v>
      </c>
      <c r="T69" s="23">
        <f t="shared" si="12"/>
        <v>0</v>
      </c>
    </row>
    <row r="70" spans="2:22" x14ac:dyDescent="0.25">
      <c r="B70" s="24"/>
      <c r="C70" s="25"/>
      <c r="D70" s="25"/>
      <c r="E70" s="25"/>
      <c r="F70" s="25"/>
      <c r="G70" s="28"/>
      <c r="H70" s="29"/>
      <c r="I70" s="19"/>
      <c r="J70" s="43">
        <f t="shared" si="13"/>
        <v>0</v>
      </c>
      <c r="K70" s="27"/>
      <c r="L70" s="40">
        <f t="shared" si="14"/>
        <v>0</v>
      </c>
      <c r="M70" s="41">
        <f t="shared" si="8"/>
        <v>0</v>
      </c>
      <c r="N70" s="27">
        <v>0</v>
      </c>
      <c r="O70" s="40">
        <f t="shared" si="9"/>
        <v>0</v>
      </c>
      <c r="P70" s="32"/>
      <c r="Q70" s="40">
        <f t="shared" si="15"/>
        <v>0</v>
      </c>
      <c r="R70" s="42">
        <f t="shared" si="10"/>
        <v>0</v>
      </c>
      <c r="S70" s="40">
        <f t="shared" si="11"/>
        <v>0</v>
      </c>
      <c r="T70" s="23">
        <f t="shared" si="12"/>
        <v>0</v>
      </c>
    </row>
    <row r="71" spans="2:22" x14ac:dyDescent="0.25">
      <c r="B71" s="24"/>
      <c r="C71" s="25"/>
      <c r="D71" s="25"/>
      <c r="E71" s="25"/>
      <c r="F71" s="25"/>
      <c r="G71" s="28"/>
      <c r="H71" s="29"/>
      <c r="I71" s="19"/>
      <c r="J71" s="43">
        <f t="shared" si="13"/>
        <v>0</v>
      </c>
      <c r="K71" s="27"/>
      <c r="L71" s="40">
        <f t="shared" si="14"/>
        <v>0</v>
      </c>
      <c r="M71" s="41">
        <f t="shared" si="8"/>
        <v>0</v>
      </c>
      <c r="N71" s="27">
        <v>0</v>
      </c>
      <c r="O71" s="40">
        <f t="shared" si="9"/>
        <v>0</v>
      </c>
      <c r="P71" s="32"/>
      <c r="Q71" s="40">
        <f t="shared" si="15"/>
        <v>0</v>
      </c>
      <c r="R71" s="42">
        <f t="shared" si="10"/>
        <v>0</v>
      </c>
      <c r="S71" s="40">
        <f t="shared" si="11"/>
        <v>0</v>
      </c>
      <c r="T71" s="23">
        <f t="shared" si="12"/>
        <v>0</v>
      </c>
    </row>
    <row r="72" spans="2:22" x14ac:dyDescent="0.25">
      <c r="B72" s="24"/>
      <c r="C72" s="25"/>
      <c r="D72" s="25"/>
      <c r="E72" s="25"/>
      <c r="F72" s="25"/>
      <c r="G72" s="28"/>
      <c r="H72" s="29"/>
      <c r="I72" s="19"/>
      <c r="J72" s="43">
        <f t="shared" si="13"/>
        <v>0</v>
      </c>
      <c r="K72" s="31"/>
      <c r="L72" s="40">
        <f t="shared" si="14"/>
        <v>0</v>
      </c>
      <c r="M72" s="41">
        <f t="shared" si="8"/>
        <v>0</v>
      </c>
      <c r="N72" s="27">
        <v>0</v>
      </c>
      <c r="O72" s="40">
        <f t="shared" si="9"/>
        <v>0</v>
      </c>
      <c r="P72" s="32"/>
      <c r="Q72" s="40">
        <f t="shared" si="15"/>
        <v>0</v>
      </c>
      <c r="R72" s="42">
        <f t="shared" si="10"/>
        <v>0</v>
      </c>
      <c r="S72" s="40">
        <f t="shared" si="11"/>
        <v>0</v>
      </c>
      <c r="T72" s="23">
        <f t="shared" si="12"/>
        <v>0</v>
      </c>
    </row>
    <row r="73" spans="2:22" x14ac:dyDescent="0.25">
      <c r="B73" s="24"/>
      <c r="C73" s="25"/>
      <c r="D73" s="25"/>
      <c r="E73" s="25"/>
      <c r="F73" s="25"/>
      <c r="G73" s="28"/>
      <c r="H73" s="29"/>
      <c r="I73" s="19"/>
      <c r="J73" s="43">
        <f t="shared" si="13"/>
        <v>0</v>
      </c>
      <c r="K73" s="31"/>
      <c r="L73" s="40">
        <f t="shared" si="14"/>
        <v>0</v>
      </c>
      <c r="M73" s="41">
        <f t="shared" si="8"/>
        <v>0</v>
      </c>
      <c r="N73" s="27">
        <v>0</v>
      </c>
      <c r="O73" s="40">
        <f t="shared" si="9"/>
        <v>0</v>
      </c>
      <c r="P73" s="32"/>
      <c r="Q73" s="40">
        <f t="shared" si="15"/>
        <v>0</v>
      </c>
      <c r="R73" s="42">
        <f t="shared" si="10"/>
        <v>0</v>
      </c>
      <c r="S73" s="40">
        <f t="shared" si="11"/>
        <v>0</v>
      </c>
      <c r="T73" s="23">
        <f t="shared" si="12"/>
        <v>0</v>
      </c>
    </row>
    <row r="74" spans="2:22" x14ac:dyDescent="0.25">
      <c r="B74" s="24"/>
      <c r="C74" s="25"/>
      <c r="D74" s="25"/>
      <c r="E74" s="25"/>
      <c r="F74" s="25"/>
      <c r="G74" s="28"/>
      <c r="H74" s="29"/>
      <c r="I74" s="19"/>
      <c r="J74" s="43">
        <f t="shared" si="13"/>
        <v>0</v>
      </c>
      <c r="K74" s="31"/>
      <c r="L74" s="40">
        <f t="shared" si="14"/>
        <v>0</v>
      </c>
      <c r="M74" s="41">
        <f t="shared" si="8"/>
        <v>0</v>
      </c>
      <c r="N74" s="27">
        <v>0</v>
      </c>
      <c r="O74" s="40">
        <f t="shared" si="9"/>
        <v>0</v>
      </c>
      <c r="P74" s="32"/>
      <c r="Q74" s="40">
        <f t="shared" si="15"/>
        <v>0</v>
      </c>
      <c r="R74" s="42">
        <f t="shared" si="10"/>
        <v>0</v>
      </c>
      <c r="S74" s="40">
        <f t="shared" si="11"/>
        <v>0</v>
      </c>
      <c r="T74" s="23">
        <f t="shared" si="12"/>
        <v>0</v>
      </c>
    </row>
    <row r="75" spans="2:22" x14ac:dyDescent="0.25">
      <c r="B75" s="24"/>
      <c r="C75" s="25"/>
      <c r="D75" s="25"/>
      <c r="E75" s="25"/>
      <c r="F75" s="25"/>
      <c r="G75" s="28"/>
      <c r="H75" s="29"/>
      <c r="I75" s="19"/>
      <c r="J75" s="43">
        <f t="shared" si="13"/>
        <v>0</v>
      </c>
      <c r="K75" s="27"/>
      <c r="L75" s="40">
        <f t="shared" si="14"/>
        <v>0</v>
      </c>
      <c r="M75" s="41">
        <f t="shared" si="8"/>
        <v>0</v>
      </c>
      <c r="N75" s="27">
        <v>0</v>
      </c>
      <c r="O75" s="40">
        <f t="shared" si="9"/>
        <v>0</v>
      </c>
      <c r="P75" s="32"/>
      <c r="Q75" s="40">
        <f t="shared" si="15"/>
        <v>0</v>
      </c>
      <c r="R75" s="42">
        <f t="shared" si="10"/>
        <v>0</v>
      </c>
      <c r="S75" s="40">
        <f t="shared" si="11"/>
        <v>0</v>
      </c>
      <c r="T75" s="23">
        <f t="shared" si="12"/>
        <v>0</v>
      </c>
    </row>
    <row r="76" spans="2:22" x14ac:dyDescent="0.25">
      <c r="B76" s="24"/>
      <c r="C76" s="25"/>
      <c r="D76" s="25"/>
      <c r="E76" s="25"/>
      <c r="F76" s="25"/>
      <c r="G76" s="28"/>
      <c r="H76" s="29"/>
      <c r="I76" s="19"/>
      <c r="J76" s="43">
        <f t="shared" si="13"/>
        <v>0</v>
      </c>
      <c r="K76" s="27"/>
      <c r="L76" s="40">
        <f t="shared" si="14"/>
        <v>0</v>
      </c>
      <c r="M76" s="41">
        <f t="shared" si="8"/>
        <v>0</v>
      </c>
      <c r="N76" s="27">
        <v>0</v>
      </c>
      <c r="O76" s="40">
        <f t="shared" si="9"/>
        <v>0</v>
      </c>
      <c r="P76" s="32"/>
      <c r="Q76" s="40">
        <f t="shared" si="15"/>
        <v>0</v>
      </c>
      <c r="R76" s="42">
        <f t="shared" si="10"/>
        <v>0</v>
      </c>
      <c r="S76" s="40">
        <f t="shared" si="11"/>
        <v>0</v>
      </c>
      <c r="T76" s="23">
        <f t="shared" si="12"/>
        <v>0</v>
      </c>
    </row>
    <row r="77" spans="2:22" x14ac:dyDescent="0.25">
      <c r="B77" s="24"/>
      <c r="C77" s="25"/>
      <c r="D77" s="25"/>
      <c r="E77" s="25"/>
      <c r="F77" s="25"/>
      <c r="G77" s="28"/>
      <c r="H77" s="29"/>
      <c r="I77" s="19"/>
      <c r="J77" s="43">
        <f t="shared" si="13"/>
        <v>0</v>
      </c>
      <c r="K77" s="27"/>
      <c r="L77" s="40">
        <f t="shared" si="14"/>
        <v>0</v>
      </c>
      <c r="M77" s="41">
        <f t="shared" si="8"/>
        <v>0</v>
      </c>
      <c r="N77" s="27">
        <v>0</v>
      </c>
      <c r="O77" s="40">
        <f t="shared" si="9"/>
        <v>0</v>
      </c>
      <c r="P77" s="32"/>
      <c r="Q77" s="40">
        <f t="shared" si="15"/>
        <v>0</v>
      </c>
      <c r="R77" s="42">
        <f t="shared" si="10"/>
        <v>0</v>
      </c>
      <c r="S77" s="40">
        <f t="shared" si="11"/>
        <v>0</v>
      </c>
      <c r="T77" s="23">
        <f t="shared" si="12"/>
        <v>0</v>
      </c>
    </row>
    <row r="78" spans="2:22" x14ac:dyDescent="0.25">
      <c r="B78" s="24"/>
      <c r="C78" s="25"/>
      <c r="D78" s="25"/>
      <c r="E78" s="25"/>
      <c r="F78" s="25"/>
      <c r="G78" s="28"/>
      <c r="H78" s="29"/>
      <c r="I78" s="19"/>
      <c r="J78" s="43">
        <f t="shared" si="13"/>
        <v>0</v>
      </c>
      <c r="K78" s="27"/>
      <c r="L78" s="40">
        <f t="shared" si="14"/>
        <v>0</v>
      </c>
      <c r="M78" s="41">
        <f t="shared" si="8"/>
        <v>0</v>
      </c>
      <c r="N78" s="27">
        <v>0</v>
      </c>
      <c r="O78" s="40">
        <f t="shared" si="9"/>
        <v>0</v>
      </c>
      <c r="P78" s="32"/>
      <c r="Q78" s="40">
        <f t="shared" si="15"/>
        <v>0</v>
      </c>
      <c r="R78" s="42">
        <f t="shared" si="10"/>
        <v>0</v>
      </c>
      <c r="S78" s="40">
        <f t="shared" si="11"/>
        <v>0</v>
      </c>
      <c r="T78" s="23">
        <f t="shared" si="12"/>
        <v>0</v>
      </c>
    </row>
    <row r="79" spans="2:22" x14ac:dyDescent="0.25">
      <c r="B79" s="24"/>
      <c r="C79" s="25"/>
      <c r="D79" s="25"/>
      <c r="E79" s="25"/>
      <c r="F79" s="25"/>
      <c r="G79" s="28"/>
      <c r="H79" s="29"/>
      <c r="I79" s="19"/>
      <c r="J79" s="43">
        <f t="shared" si="13"/>
        <v>0</v>
      </c>
      <c r="K79" s="27"/>
      <c r="L79" s="40">
        <f t="shared" si="14"/>
        <v>0</v>
      </c>
      <c r="M79" s="41">
        <f t="shared" si="8"/>
        <v>0</v>
      </c>
      <c r="N79" s="27">
        <v>0</v>
      </c>
      <c r="O79" s="40">
        <f t="shared" si="9"/>
        <v>0</v>
      </c>
      <c r="P79" s="32"/>
      <c r="Q79" s="40">
        <f t="shared" si="15"/>
        <v>0</v>
      </c>
      <c r="R79" s="42">
        <f t="shared" si="10"/>
        <v>0</v>
      </c>
      <c r="S79" s="40">
        <f t="shared" si="11"/>
        <v>0</v>
      </c>
      <c r="T79" s="23">
        <f t="shared" si="12"/>
        <v>0</v>
      </c>
    </row>
    <row r="80" spans="2:22" x14ac:dyDescent="0.25">
      <c r="B80" s="24"/>
      <c r="C80" s="25"/>
      <c r="D80" s="25"/>
      <c r="E80" s="25"/>
      <c r="F80" s="25"/>
      <c r="G80" s="28"/>
      <c r="H80" s="29"/>
      <c r="I80" s="19"/>
      <c r="J80" s="43">
        <f t="shared" si="13"/>
        <v>0</v>
      </c>
      <c r="K80" s="27"/>
      <c r="L80" s="40">
        <f t="shared" si="14"/>
        <v>0</v>
      </c>
      <c r="M80" s="41">
        <f t="shared" si="8"/>
        <v>0</v>
      </c>
      <c r="N80" s="27">
        <v>0</v>
      </c>
      <c r="O80" s="40">
        <f t="shared" si="9"/>
        <v>0</v>
      </c>
      <c r="P80" s="32"/>
      <c r="Q80" s="40">
        <f t="shared" si="15"/>
        <v>0</v>
      </c>
      <c r="R80" s="42">
        <f t="shared" si="10"/>
        <v>0</v>
      </c>
      <c r="S80" s="40">
        <f t="shared" si="11"/>
        <v>0</v>
      </c>
      <c r="T80" s="23">
        <f t="shared" si="12"/>
        <v>0</v>
      </c>
    </row>
    <row r="81" spans="1:21" x14ac:dyDescent="0.25">
      <c r="B81" s="24"/>
      <c r="C81" s="25"/>
      <c r="D81" s="25"/>
      <c r="E81" s="25"/>
      <c r="F81" s="25"/>
      <c r="G81" s="28"/>
      <c r="H81" s="29"/>
      <c r="I81" s="19"/>
      <c r="J81" s="43">
        <f t="shared" si="13"/>
        <v>0</v>
      </c>
      <c r="K81" s="27"/>
      <c r="L81" s="40">
        <f t="shared" si="14"/>
        <v>0</v>
      </c>
      <c r="M81" s="41">
        <f t="shared" si="8"/>
        <v>0</v>
      </c>
      <c r="N81" s="27">
        <v>0</v>
      </c>
      <c r="O81" s="40">
        <f t="shared" si="9"/>
        <v>0</v>
      </c>
      <c r="P81" s="32"/>
      <c r="Q81" s="40">
        <f t="shared" si="15"/>
        <v>0</v>
      </c>
      <c r="R81" s="42">
        <f t="shared" si="10"/>
        <v>0</v>
      </c>
      <c r="S81" s="40">
        <f t="shared" si="11"/>
        <v>0</v>
      </c>
      <c r="T81" s="23">
        <f t="shared" si="12"/>
        <v>0</v>
      </c>
    </row>
    <row r="82" spans="1:21" x14ac:dyDescent="0.25">
      <c r="B82" s="24"/>
      <c r="C82" s="25"/>
      <c r="D82" s="25"/>
      <c r="E82" s="25"/>
      <c r="F82" s="25"/>
      <c r="G82" s="28"/>
      <c r="H82" s="29"/>
      <c r="I82" s="19"/>
      <c r="J82" s="43">
        <f t="shared" si="13"/>
        <v>0</v>
      </c>
      <c r="K82" s="27"/>
      <c r="L82" s="40">
        <f t="shared" si="14"/>
        <v>0</v>
      </c>
      <c r="M82" s="41">
        <f t="shared" si="8"/>
        <v>0</v>
      </c>
      <c r="N82" s="27">
        <v>0</v>
      </c>
      <c r="O82" s="40">
        <f t="shared" si="9"/>
        <v>0</v>
      </c>
      <c r="P82" s="32"/>
      <c r="Q82" s="40">
        <f t="shared" si="15"/>
        <v>0</v>
      </c>
      <c r="R82" s="42">
        <f t="shared" si="10"/>
        <v>0</v>
      </c>
      <c r="S82" s="40">
        <f t="shared" si="11"/>
        <v>0</v>
      </c>
      <c r="T82" s="23">
        <f t="shared" si="12"/>
        <v>0</v>
      </c>
    </row>
    <row r="83" spans="1:21" x14ac:dyDescent="0.25">
      <c r="B83" s="24"/>
      <c r="C83" s="25"/>
      <c r="D83" s="25"/>
      <c r="E83" s="25"/>
      <c r="F83" s="25"/>
      <c r="G83" s="28"/>
      <c r="H83" s="29"/>
      <c r="I83" s="19"/>
      <c r="J83" s="43">
        <f t="shared" si="13"/>
        <v>0</v>
      </c>
      <c r="K83" s="27"/>
      <c r="L83" s="40">
        <f t="shared" si="14"/>
        <v>0</v>
      </c>
      <c r="M83" s="41">
        <f t="shared" si="8"/>
        <v>0</v>
      </c>
      <c r="N83" s="27">
        <v>0</v>
      </c>
      <c r="O83" s="40">
        <f t="shared" si="9"/>
        <v>0</v>
      </c>
      <c r="P83" s="32"/>
      <c r="Q83" s="40">
        <f t="shared" si="15"/>
        <v>0</v>
      </c>
      <c r="R83" s="42">
        <f t="shared" si="10"/>
        <v>0</v>
      </c>
      <c r="S83" s="40">
        <f t="shared" si="11"/>
        <v>0</v>
      </c>
      <c r="T83" s="23">
        <f t="shared" si="12"/>
        <v>0</v>
      </c>
    </row>
    <row r="84" spans="1:21" x14ac:dyDescent="0.25">
      <c r="A84" s="36">
        <v>46057</v>
      </c>
      <c r="B84" s="24"/>
      <c r="C84" s="25"/>
      <c r="D84" s="25"/>
      <c r="E84" s="25"/>
      <c r="F84" s="25"/>
      <c r="G84" s="28"/>
      <c r="H84" s="29"/>
      <c r="I84" s="19"/>
      <c r="J84" s="43">
        <f t="shared" si="13"/>
        <v>0</v>
      </c>
      <c r="K84" s="31"/>
      <c r="L84" s="40">
        <f t="shared" si="14"/>
        <v>0</v>
      </c>
      <c r="M84" s="41">
        <f t="shared" si="8"/>
        <v>0</v>
      </c>
      <c r="N84" s="27">
        <v>0</v>
      </c>
      <c r="O84" s="40">
        <f t="shared" si="9"/>
        <v>0</v>
      </c>
      <c r="P84" s="32"/>
      <c r="Q84" s="40">
        <f t="shared" si="15"/>
        <v>0</v>
      </c>
      <c r="R84" s="42">
        <f t="shared" si="10"/>
        <v>0</v>
      </c>
      <c r="S84" s="40">
        <f t="shared" si="11"/>
        <v>0</v>
      </c>
      <c r="T84" s="23">
        <f t="shared" si="12"/>
        <v>0</v>
      </c>
    </row>
    <row r="85" spans="1:21" x14ac:dyDescent="0.25">
      <c r="B85" s="24"/>
      <c r="C85" s="25"/>
      <c r="D85" s="25"/>
      <c r="E85" s="25"/>
      <c r="F85" s="25"/>
      <c r="G85" s="28"/>
      <c r="H85" s="29"/>
      <c r="I85" s="19"/>
      <c r="J85" s="43">
        <f t="shared" si="13"/>
        <v>0</v>
      </c>
      <c r="K85" s="31"/>
      <c r="L85" s="40">
        <f t="shared" si="14"/>
        <v>0</v>
      </c>
      <c r="M85" s="41">
        <f t="shared" si="8"/>
        <v>0</v>
      </c>
      <c r="N85" s="27">
        <v>0</v>
      </c>
      <c r="O85" s="40">
        <f t="shared" si="9"/>
        <v>0</v>
      </c>
      <c r="P85" s="32"/>
      <c r="Q85" s="40">
        <f t="shared" si="15"/>
        <v>0</v>
      </c>
      <c r="R85" s="42">
        <f t="shared" si="10"/>
        <v>0</v>
      </c>
      <c r="S85" s="40">
        <f t="shared" si="11"/>
        <v>0</v>
      </c>
      <c r="T85" s="23">
        <f t="shared" si="12"/>
        <v>0</v>
      </c>
    </row>
    <row r="86" spans="1:21" x14ac:dyDescent="0.25">
      <c r="B86" s="24"/>
      <c r="C86" s="25"/>
      <c r="D86" s="25"/>
      <c r="E86" s="25"/>
      <c r="F86" s="25"/>
      <c r="G86" s="28"/>
      <c r="H86" s="29"/>
      <c r="I86" s="19"/>
      <c r="J86" s="43">
        <f t="shared" si="13"/>
        <v>0</v>
      </c>
      <c r="K86" s="31"/>
      <c r="L86" s="40">
        <f t="shared" si="14"/>
        <v>0</v>
      </c>
      <c r="M86" s="41">
        <f t="shared" si="8"/>
        <v>0</v>
      </c>
      <c r="N86" s="27">
        <v>0</v>
      </c>
      <c r="O86" s="40">
        <f t="shared" si="9"/>
        <v>0</v>
      </c>
      <c r="P86" s="32"/>
      <c r="Q86" s="40">
        <f t="shared" si="15"/>
        <v>0</v>
      </c>
      <c r="R86" s="42">
        <f t="shared" si="10"/>
        <v>0</v>
      </c>
      <c r="S86" s="40">
        <f t="shared" si="11"/>
        <v>0</v>
      </c>
      <c r="T86" s="23">
        <f t="shared" si="12"/>
        <v>0</v>
      </c>
    </row>
    <row r="87" spans="1:21" x14ac:dyDescent="0.25">
      <c r="B87" s="24"/>
      <c r="C87" s="25"/>
      <c r="D87" s="25"/>
      <c r="E87" s="25"/>
      <c r="F87" s="25"/>
      <c r="G87" s="28"/>
      <c r="H87" s="29"/>
      <c r="I87" s="19"/>
      <c r="J87" s="43">
        <f t="shared" si="13"/>
        <v>0</v>
      </c>
      <c r="K87" s="31"/>
      <c r="L87" s="40">
        <f t="shared" si="14"/>
        <v>0</v>
      </c>
      <c r="M87" s="41">
        <f t="shared" si="8"/>
        <v>0</v>
      </c>
      <c r="N87" s="27">
        <v>0</v>
      </c>
      <c r="O87" s="40">
        <f t="shared" si="9"/>
        <v>0</v>
      </c>
      <c r="P87" s="32"/>
      <c r="Q87" s="40">
        <f t="shared" si="15"/>
        <v>0</v>
      </c>
      <c r="R87" s="42">
        <f t="shared" si="10"/>
        <v>0</v>
      </c>
      <c r="S87" s="40">
        <f t="shared" si="11"/>
        <v>0</v>
      </c>
      <c r="T87" s="23">
        <f t="shared" si="12"/>
        <v>0</v>
      </c>
    </row>
    <row r="88" spans="1:21" x14ac:dyDescent="0.25">
      <c r="B88" s="24"/>
      <c r="C88" s="25"/>
      <c r="D88" s="25"/>
      <c r="E88" s="25"/>
      <c r="F88" s="25"/>
      <c r="G88" s="28"/>
      <c r="H88" s="29"/>
      <c r="I88" s="19"/>
      <c r="J88" s="43">
        <f t="shared" si="13"/>
        <v>0</v>
      </c>
      <c r="K88" s="31"/>
      <c r="L88" s="40">
        <f t="shared" si="14"/>
        <v>0</v>
      </c>
      <c r="M88" s="41">
        <f t="shared" si="8"/>
        <v>0</v>
      </c>
      <c r="N88" s="27">
        <v>0</v>
      </c>
      <c r="O88" s="40">
        <f t="shared" si="9"/>
        <v>0</v>
      </c>
      <c r="P88" s="32"/>
      <c r="Q88" s="40">
        <f t="shared" si="15"/>
        <v>0</v>
      </c>
      <c r="R88" s="42">
        <f t="shared" si="10"/>
        <v>0</v>
      </c>
      <c r="S88" s="40">
        <f t="shared" si="11"/>
        <v>0</v>
      </c>
      <c r="T88" s="23">
        <f t="shared" si="12"/>
        <v>0</v>
      </c>
    </row>
    <row r="89" spans="1:21" x14ac:dyDescent="0.25">
      <c r="B89" s="24"/>
      <c r="C89" s="25"/>
      <c r="D89" s="25"/>
      <c r="E89" s="25"/>
      <c r="F89" s="25"/>
      <c r="G89" s="28"/>
      <c r="H89" s="29"/>
      <c r="I89" s="19"/>
      <c r="J89" s="43">
        <f t="shared" si="13"/>
        <v>0</v>
      </c>
      <c r="K89" s="31"/>
      <c r="L89" s="40">
        <f t="shared" si="14"/>
        <v>0</v>
      </c>
      <c r="M89" s="41">
        <f t="shared" si="8"/>
        <v>0</v>
      </c>
      <c r="N89" s="27">
        <v>0</v>
      </c>
      <c r="O89" s="40">
        <f t="shared" si="9"/>
        <v>0</v>
      </c>
      <c r="P89" s="32"/>
      <c r="Q89" s="40">
        <f t="shared" si="15"/>
        <v>0</v>
      </c>
      <c r="R89" s="42">
        <f t="shared" si="10"/>
        <v>0</v>
      </c>
      <c r="S89" s="40">
        <f t="shared" si="11"/>
        <v>0</v>
      </c>
      <c r="T89" s="23">
        <f t="shared" si="12"/>
        <v>0</v>
      </c>
    </row>
    <row r="90" spans="1:21" x14ac:dyDescent="0.25">
      <c r="B90" s="24"/>
      <c r="C90" s="25"/>
      <c r="D90" s="25"/>
      <c r="E90" s="25"/>
      <c r="F90" s="25"/>
      <c r="G90" s="28"/>
      <c r="H90" s="29"/>
      <c r="I90" s="19"/>
      <c r="J90" s="43">
        <f t="shared" si="13"/>
        <v>0</v>
      </c>
      <c r="K90" s="27"/>
      <c r="L90" s="40">
        <f t="shared" si="14"/>
        <v>0</v>
      </c>
      <c r="M90" s="41">
        <f t="shared" si="8"/>
        <v>0</v>
      </c>
      <c r="N90" s="27">
        <v>0</v>
      </c>
      <c r="O90" s="40">
        <f t="shared" si="9"/>
        <v>0</v>
      </c>
      <c r="P90" s="32"/>
      <c r="Q90" s="40">
        <f t="shared" si="15"/>
        <v>0</v>
      </c>
      <c r="R90" s="42">
        <f t="shared" si="10"/>
        <v>0</v>
      </c>
      <c r="S90" s="40">
        <f t="shared" si="11"/>
        <v>0</v>
      </c>
      <c r="T90" s="23">
        <f t="shared" si="12"/>
        <v>0</v>
      </c>
    </row>
    <row r="91" spans="1:21" x14ac:dyDescent="0.25">
      <c r="B91" s="24"/>
      <c r="C91" s="25"/>
      <c r="D91" s="25"/>
      <c r="E91" s="25"/>
      <c r="F91" s="25"/>
      <c r="G91" s="28"/>
      <c r="H91" s="29"/>
      <c r="I91" s="19"/>
      <c r="J91" s="43">
        <f t="shared" si="13"/>
        <v>0</v>
      </c>
      <c r="K91" s="31"/>
      <c r="L91" s="40">
        <f t="shared" si="14"/>
        <v>0</v>
      </c>
      <c r="M91" s="41">
        <f t="shared" si="8"/>
        <v>0</v>
      </c>
      <c r="N91" s="27">
        <v>0</v>
      </c>
      <c r="O91" s="40">
        <f t="shared" si="9"/>
        <v>0</v>
      </c>
      <c r="P91" s="32"/>
      <c r="Q91" s="40">
        <f t="shared" si="15"/>
        <v>0</v>
      </c>
      <c r="R91" s="42">
        <f t="shared" si="10"/>
        <v>0</v>
      </c>
      <c r="S91" s="40">
        <f t="shared" si="11"/>
        <v>0</v>
      </c>
      <c r="T91" s="23">
        <f t="shared" si="12"/>
        <v>0</v>
      </c>
    </row>
    <row r="92" spans="1:21" x14ac:dyDescent="0.25">
      <c r="B92" s="24"/>
      <c r="C92" s="25"/>
      <c r="D92" s="25"/>
      <c r="E92" s="25"/>
      <c r="F92" s="25"/>
      <c r="G92" s="28"/>
      <c r="H92" s="29"/>
      <c r="I92" s="19"/>
      <c r="J92" s="43">
        <f t="shared" si="13"/>
        <v>0</v>
      </c>
      <c r="K92" s="31"/>
      <c r="L92" s="40">
        <f t="shared" si="14"/>
        <v>0</v>
      </c>
      <c r="M92" s="41">
        <f t="shared" si="8"/>
        <v>0</v>
      </c>
      <c r="N92" s="27">
        <v>0</v>
      </c>
      <c r="O92" s="40">
        <f t="shared" si="9"/>
        <v>0</v>
      </c>
      <c r="P92" s="32"/>
      <c r="Q92" s="40">
        <f t="shared" si="15"/>
        <v>0</v>
      </c>
      <c r="R92" s="42">
        <f t="shared" si="10"/>
        <v>0</v>
      </c>
      <c r="S92" s="40">
        <f t="shared" si="11"/>
        <v>0</v>
      </c>
      <c r="T92" s="23">
        <f t="shared" si="12"/>
        <v>0</v>
      </c>
    </row>
    <row r="93" spans="1:21" s="2" customFormat="1" x14ac:dyDescent="0.25">
      <c r="B93" s="24"/>
      <c r="C93" s="25"/>
      <c r="D93" s="25"/>
      <c r="E93" s="25"/>
      <c r="F93" s="25"/>
      <c r="G93" s="28"/>
      <c r="H93" s="29"/>
      <c r="I93" s="19"/>
      <c r="J93" s="43">
        <f t="shared" si="13"/>
        <v>0</v>
      </c>
      <c r="K93" s="31"/>
      <c r="L93" s="40">
        <f t="shared" si="14"/>
        <v>0</v>
      </c>
      <c r="M93" s="41">
        <f t="shared" si="8"/>
        <v>0</v>
      </c>
      <c r="N93" s="27">
        <v>0</v>
      </c>
      <c r="O93" s="40">
        <f t="shared" si="9"/>
        <v>0</v>
      </c>
      <c r="P93" s="32"/>
      <c r="Q93" s="40">
        <f t="shared" si="15"/>
        <v>0</v>
      </c>
      <c r="R93" s="42">
        <f t="shared" si="10"/>
        <v>0</v>
      </c>
      <c r="S93" s="40">
        <f t="shared" si="11"/>
        <v>0</v>
      </c>
      <c r="T93" s="23">
        <f t="shared" si="12"/>
        <v>0</v>
      </c>
      <c r="U93" s="11"/>
    </row>
    <row r="94" spans="1:21" x14ac:dyDescent="0.25">
      <c r="B94" s="24"/>
      <c r="C94" s="25"/>
      <c r="D94" s="25"/>
      <c r="E94" s="25"/>
      <c r="F94" s="25"/>
      <c r="G94" s="28"/>
      <c r="H94" s="29"/>
      <c r="I94" s="19"/>
      <c r="J94" s="43">
        <f t="shared" si="13"/>
        <v>0</v>
      </c>
      <c r="K94" s="31"/>
      <c r="L94" s="40">
        <f t="shared" si="14"/>
        <v>0</v>
      </c>
      <c r="M94" s="41">
        <f t="shared" si="8"/>
        <v>0</v>
      </c>
      <c r="N94" s="27">
        <v>0</v>
      </c>
      <c r="O94" s="40">
        <f t="shared" si="9"/>
        <v>0</v>
      </c>
      <c r="P94" s="32"/>
      <c r="Q94" s="40">
        <f t="shared" si="15"/>
        <v>0</v>
      </c>
      <c r="R94" s="42">
        <f t="shared" si="10"/>
        <v>0</v>
      </c>
      <c r="S94" s="40">
        <f t="shared" si="11"/>
        <v>0</v>
      </c>
      <c r="T94" s="23">
        <f t="shared" si="12"/>
        <v>0</v>
      </c>
    </row>
    <row r="95" spans="1:21" x14ac:dyDescent="0.25">
      <c r="B95" s="24"/>
      <c r="C95" s="25"/>
      <c r="D95" s="25"/>
      <c r="E95" s="25"/>
      <c r="F95" s="25"/>
      <c r="G95" s="28"/>
      <c r="H95" s="29"/>
      <c r="I95" s="19"/>
      <c r="J95" s="43">
        <f t="shared" si="13"/>
        <v>0</v>
      </c>
      <c r="K95" s="31"/>
      <c r="L95" s="40">
        <f t="shared" si="14"/>
        <v>0</v>
      </c>
      <c r="M95" s="41">
        <f t="shared" si="8"/>
        <v>0</v>
      </c>
      <c r="N95" s="27">
        <v>0</v>
      </c>
      <c r="O95" s="40">
        <f t="shared" si="9"/>
        <v>0</v>
      </c>
      <c r="P95" s="32"/>
      <c r="Q95" s="40">
        <f t="shared" si="15"/>
        <v>0</v>
      </c>
      <c r="R95" s="42">
        <f t="shared" si="10"/>
        <v>0</v>
      </c>
      <c r="S95" s="40">
        <f t="shared" si="11"/>
        <v>0</v>
      </c>
      <c r="T95" s="23">
        <f t="shared" si="12"/>
        <v>0</v>
      </c>
    </row>
    <row r="96" spans="1:21" x14ac:dyDescent="0.25">
      <c r="B96" s="24"/>
      <c r="C96" s="25"/>
      <c r="D96" s="25"/>
      <c r="E96" s="25"/>
      <c r="F96" s="25"/>
      <c r="G96" s="28"/>
      <c r="H96" s="29"/>
      <c r="I96" s="19"/>
      <c r="J96" s="43">
        <f t="shared" si="13"/>
        <v>0</v>
      </c>
      <c r="K96" s="31"/>
      <c r="L96" s="40">
        <f t="shared" si="14"/>
        <v>0</v>
      </c>
      <c r="M96" s="41">
        <f t="shared" si="8"/>
        <v>0</v>
      </c>
      <c r="N96" s="27">
        <v>0</v>
      </c>
      <c r="O96" s="40">
        <f t="shared" si="9"/>
        <v>0</v>
      </c>
      <c r="P96" s="32"/>
      <c r="Q96" s="40">
        <f t="shared" si="15"/>
        <v>0</v>
      </c>
      <c r="R96" s="42">
        <f t="shared" si="10"/>
        <v>0</v>
      </c>
      <c r="S96" s="40">
        <f t="shared" si="11"/>
        <v>0</v>
      </c>
      <c r="T96" s="23">
        <f t="shared" si="12"/>
        <v>0</v>
      </c>
    </row>
    <row r="97" spans="2:20" x14ac:dyDescent="0.25">
      <c r="B97" s="24"/>
      <c r="C97" s="25"/>
      <c r="D97" s="25"/>
      <c r="E97" s="25"/>
      <c r="F97" s="25"/>
      <c r="G97" s="28"/>
      <c r="H97" s="29"/>
      <c r="I97" s="19"/>
      <c r="J97" s="43">
        <f t="shared" si="13"/>
        <v>0</v>
      </c>
      <c r="K97" s="31"/>
      <c r="L97" s="40">
        <f t="shared" si="14"/>
        <v>0</v>
      </c>
      <c r="M97" s="41">
        <f t="shared" si="8"/>
        <v>0</v>
      </c>
      <c r="N97" s="27">
        <v>0</v>
      </c>
      <c r="O97" s="40">
        <f t="shared" si="9"/>
        <v>0</v>
      </c>
      <c r="P97" s="32"/>
      <c r="Q97" s="40">
        <f t="shared" si="15"/>
        <v>0</v>
      </c>
      <c r="R97" s="42">
        <f t="shared" si="10"/>
        <v>0</v>
      </c>
      <c r="S97" s="40">
        <f t="shared" si="11"/>
        <v>0</v>
      </c>
      <c r="T97" s="23">
        <f t="shared" si="12"/>
        <v>0</v>
      </c>
    </row>
    <row r="98" spans="2:20" x14ac:dyDescent="0.25">
      <c r="B98" s="24"/>
      <c r="C98" s="25"/>
      <c r="D98" s="25"/>
      <c r="E98" s="25"/>
      <c r="F98" s="25"/>
      <c r="G98" s="28"/>
      <c r="H98" s="29"/>
      <c r="I98" s="19"/>
      <c r="J98" s="43">
        <f t="shared" si="13"/>
        <v>0</v>
      </c>
      <c r="K98" s="31"/>
      <c r="L98" s="40">
        <f t="shared" si="14"/>
        <v>0</v>
      </c>
      <c r="M98" s="41">
        <f t="shared" si="8"/>
        <v>0</v>
      </c>
      <c r="N98" s="27">
        <v>0</v>
      </c>
      <c r="O98" s="40">
        <f t="shared" si="9"/>
        <v>0</v>
      </c>
      <c r="P98" s="32"/>
      <c r="Q98" s="40">
        <f t="shared" si="15"/>
        <v>0</v>
      </c>
      <c r="R98" s="42">
        <f t="shared" si="10"/>
        <v>0</v>
      </c>
      <c r="S98" s="40">
        <f t="shared" si="11"/>
        <v>0</v>
      </c>
      <c r="T98" s="23">
        <f t="shared" si="12"/>
        <v>0</v>
      </c>
    </row>
    <row r="99" spans="2:20" x14ac:dyDescent="0.25">
      <c r="B99" s="24"/>
      <c r="C99" s="25"/>
      <c r="D99" s="25"/>
      <c r="E99" s="25"/>
      <c r="F99" s="25"/>
      <c r="G99" s="28"/>
      <c r="H99" s="29"/>
      <c r="I99" s="19"/>
      <c r="J99" s="43">
        <f t="shared" si="13"/>
        <v>0</v>
      </c>
      <c r="K99" s="31"/>
      <c r="L99" s="40">
        <f t="shared" si="14"/>
        <v>0</v>
      </c>
      <c r="M99" s="41">
        <f t="shared" si="8"/>
        <v>0</v>
      </c>
      <c r="N99" s="27">
        <v>0</v>
      </c>
      <c r="O99" s="40">
        <f t="shared" si="9"/>
        <v>0</v>
      </c>
      <c r="P99" s="32"/>
      <c r="Q99" s="40">
        <f t="shared" si="15"/>
        <v>0</v>
      </c>
      <c r="R99" s="42">
        <f t="shared" si="10"/>
        <v>0</v>
      </c>
      <c r="S99" s="40">
        <f t="shared" si="11"/>
        <v>0</v>
      </c>
      <c r="T99" s="23">
        <f t="shared" si="12"/>
        <v>0</v>
      </c>
    </row>
    <row r="100" spans="2:20" x14ac:dyDescent="0.25">
      <c r="B100" s="24"/>
      <c r="C100" s="25"/>
      <c r="D100" s="25"/>
      <c r="E100" s="25"/>
      <c r="F100" s="25"/>
      <c r="G100" s="28"/>
      <c r="H100" s="29"/>
      <c r="I100" s="19"/>
      <c r="J100" s="43">
        <f t="shared" si="13"/>
        <v>0</v>
      </c>
      <c r="K100" s="31"/>
      <c r="L100" s="40">
        <f t="shared" si="14"/>
        <v>0</v>
      </c>
      <c r="M100" s="41">
        <f t="shared" si="8"/>
        <v>0</v>
      </c>
      <c r="N100" s="27">
        <v>0</v>
      </c>
      <c r="O100" s="40">
        <f t="shared" si="9"/>
        <v>0</v>
      </c>
      <c r="P100" s="32"/>
      <c r="Q100" s="40">
        <f t="shared" si="15"/>
        <v>0</v>
      </c>
      <c r="R100" s="42">
        <f t="shared" si="10"/>
        <v>0</v>
      </c>
      <c r="S100" s="40">
        <f t="shared" si="11"/>
        <v>0</v>
      </c>
      <c r="T100" s="23">
        <f t="shared" si="12"/>
        <v>0</v>
      </c>
    </row>
    <row r="101" spans="2:20" x14ac:dyDescent="0.25">
      <c r="B101" s="24"/>
      <c r="C101" s="25"/>
      <c r="D101" s="25"/>
      <c r="E101" s="25"/>
      <c r="F101" s="25"/>
      <c r="G101" s="28"/>
      <c r="H101" s="29"/>
      <c r="I101" s="19"/>
      <c r="J101" s="43">
        <f t="shared" si="13"/>
        <v>0</v>
      </c>
      <c r="K101" s="31"/>
      <c r="L101" s="40">
        <f t="shared" si="14"/>
        <v>0</v>
      </c>
      <c r="M101" s="41">
        <f t="shared" si="8"/>
        <v>0</v>
      </c>
      <c r="N101" s="27">
        <v>0</v>
      </c>
      <c r="O101" s="40">
        <f t="shared" si="9"/>
        <v>0</v>
      </c>
      <c r="P101" s="32"/>
      <c r="Q101" s="40">
        <f t="shared" si="15"/>
        <v>0</v>
      </c>
      <c r="R101" s="42">
        <f t="shared" si="10"/>
        <v>0</v>
      </c>
      <c r="S101" s="40">
        <f t="shared" si="11"/>
        <v>0</v>
      </c>
      <c r="T101" s="23">
        <f t="shared" si="12"/>
        <v>0</v>
      </c>
    </row>
    <row r="102" spans="2:20" x14ac:dyDescent="0.25">
      <c r="B102" s="24"/>
      <c r="C102" s="25"/>
      <c r="D102" s="25"/>
      <c r="E102" s="25"/>
      <c r="F102" s="25"/>
      <c r="G102" s="28"/>
      <c r="H102" s="29"/>
      <c r="I102" s="19"/>
      <c r="J102" s="43">
        <f t="shared" si="13"/>
        <v>0</v>
      </c>
      <c r="K102" s="27"/>
      <c r="L102" s="40">
        <f t="shared" si="14"/>
        <v>0</v>
      </c>
      <c r="M102" s="41">
        <f t="shared" si="8"/>
        <v>0</v>
      </c>
      <c r="N102" s="27">
        <v>0</v>
      </c>
      <c r="O102" s="40">
        <f t="shared" si="9"/>
        <v>0</v>
      </c>
      <c r="P102" s="32"/>
      <c r="Q102" s="40">
        <f t="shared" si="15"/>
        <v>0</v>
      </c>
      <c r="R102" s="42">
        <f t="shared" si="10"/>
        <v>0</v>
      </c>
      <c r="S102" s="40">
        <f t="shared" si="11"/>
        <v>0</v>
      </c>
      <c r="T102" s="23">
        <f t="shared" si="12"/>
        <v>0</v>
      </c>
    </row>
    <row r="103" spans="2:20" x14ac:dyDescent="0.25">
      <c r="B103" s="24"/>
      <c r="C103" s="25"/>
      <c r="D103" s="25"/>
      <c r="E103" s="25"/>
      <c r="F103" s="25"/>
      <c r="G103" s="28"/>
      <c r="H103" s="29"/>
      <c r="I103" s="19"/>
      <c r="J103" s="43">
        <f t="shared" si="13"/>
        <v>0</v>
      </c>
      <c r="K103" s="31"/>
      <c r="L103" s="40">
        <f t="shared" si="14"/>
        <v>0</v>
      </c>
      <c r="M103" s="41">
        <f t="shared" si="8"/>
        <v>0</v>
      </c>
      <c r="N103" s="27">
        <v>0</v>
      </c>
      <c r="O103" s="40">
        <f t="shared" si="9"/>
        <v>0</v>
      </c>
      <c r="P103" s="32"/>
      <c r="Q103" s="40">
        <f t="shared" si="15"/>
        <v>0</v>
      </c>
      <c r="R103" s="42">
        <f t="shared" si="10"/>
        <v>0</v>
      </c>
      <c r="S103" s="40">
        <f t="shared" si="11"/>
        <v>0</v>
      </c>
      <c r="T103" s="23">
        <f t="shared" si="12"/>
        <v>0</v>
      </c>
    </row>
    <row r="104" spans="2:20" x14ac:dyDescent="0.25">
      <c r="B104" s="25"/>
      <c r="C104" s="25"/>
      <c r="D104" s="25"/>
      <c r="E104" s="25"/>
      <c r="F104" s="25"/>
      <c r="G104" s="28"/>
      <c r="H104" s="29"/>
      <c r="I104" s="19"/>
      <c r="J104" s="43">
        <f t="shared" si="13"/>
        <v>0</v>
      </c>
      <c r="K104" s="31"/>
      <c r="L104" s="40">
        <f t="shared" si="14"/>
        <v>0</v>
      </c>
      <c r="M104" s="41">
        <f t="shared" si="8"/>
        <v>0</v>
      </c>
      <c r="N104" s="27">
        <v>0</v>
      </c>
      <c r="O104" s="40">
        <f t="shared" si="9"/>
        <v>0</v>
      </c>
      <c r="P104" s="27"/>
      <c r="Q104" s="40">
        <f t="shared" si="15"/>
        <v>0</v>
      </c>
      <c r="R104" s="42">
        <f t="shared" si="10"/>
        <v>0</v>
      </c>
      <c r="S104" s="40">
        <f t="shared" si="11"/>
        <v>0</v>
      </c>
      <c r="T104" s="23">
        <f t="shared" si="12"/>
        <v>0</v>
      </c>
    </row>
  </sheetData>
  <conditionalFormatting sqref="R4:R104">
    <cfRule type="expression" dxfId="1" priority="1">
      <formula>IF($J4&gt;0,TRUE,FALSE)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DB7E5-46D0-410B-A49E-BCCBB7DAB626}">
  <dimension ref="A2:AC105"/>
  <sheetViews>
    <sheetView zoomScale="80" zoomScaleNormal="80" workbookViewId="0">
      <selection activeCell="E20" sqref="E20"/>
    </sheetView>
  </sheetViews>
  <sheetFormatPr baseColWidth="10" defaultColWidth="11.42578125" defaultRowHeight="15" x14ac:dyDescent="0.25"/>
  <cols>
    <col min="1" max="1" width="1.42578125" style="1" customWidth="1"/>
    <col min="2" max="2" width="11.28515625" style="1" bestFit="1" customWidth="1"/>
    <col min="3" max="3" width="11.42578125" style="1"/>
    <col min="4" max="4" width="9.7109375" style="1" bestFit="1" customWidth="1"/>
    <col min="5" max="5" width="25.140625" style="1" bestFit="1" customWidth="1"/>
    <col min="6" max="6" width="9.85546875" style="1" customWidth="1"/>
    <col min="7" max="7" width="11.42578125" style="1"/>
    <col min="8" max="8" width="11.140625" style="1" bestFit="1" customWidth="1"/>
    <col min="9" max="9" width="8" style="1" bestFit="1" customWidth="1"/>
    <col min="10" max="10" width="14.85546875" style="1" bestFit="1" customWidth="1"/>
    <col min="11" max="11" width="9.7109375" style="11" bestFit="1" customWidth="1"/>
    <col min="12" max="12" width="10.5703125" style="11" bestFit="1" customWidth="1"/>
    <col min="13" max="13" width="16" style="11" bestFit="1" customWidth="1"/>
    <col min="14" max="14" width="13.5703125" style="11" bestFit="1" customWidth="1"/>
    <col min="15" max="15" width="16" style="11" bestFit="1" customWidth="1"/>
    <col min="16" max="16" width="10.7109375" style="11" bestFit="1" customWidth="1"/>
    <col min="17" max="17" width="14.7109375" style="11" bestFit="1" customWidth="1"/>
    <col min="18" max="18" width="16" style="1" bestFit="1" customWidth="1"/>
    <col min="19" max="19" width="14.85546875" style="1" bestFit="1" customWidth="1"/>
    <col min="20" max="20" width="16" style="1" bestFit="1" customWidth="1"/>
    <col min="21" max="21" width="44.42578125" style="11" bestFit="1" customWidth="1"/>
    <col min="22" max="22" width="15.85546875" style="1" bestFit="1" customWidth="1"/>
    <col min="23" max="23" width="12.140625" style="1" bestFit="1" customWidth="1"/>
    <col min="24" max="25" width="11.42578125" style="1"/>
    <col min="26" max="26" width="16" style="1" customWidth="1"/>
    <col min="27" max="27" width="16.7109375" style="1" customWidth="1"/>
    <col min="28" max="16384" width="11.42578125" style="1"/>
  </cols>
  <sheetData>
    <row r="2" spans="2:22" ht="15.75" thickBot="1" x14ac:dyDescent="0.3">
      <c r="C2" s="2"/>
      <c r="D2" s="45"/>
      <c r="E2" s="2"/>
      <c r="F2" s="3" t="s">
        <v>0</v>
      </c>
      <c r="G2" s="4">
        <f>SUM(G4:G495)</f>
        <v>1757</v>
      </c>
      <c r="H2" s="5">
        <f>SUM(H4:H495)</f>
        <v>1757</v>
      </c>
      <c r="I2" s="6">
        <f>SUM(I4:I495)</f>
        <v>0</v>
      </c>
      <c r="J2" s="7">
        <f>SUM(J4:J495)</f>
        <v>0</v>
      </c>
      <c r="K2" s="8">
        <f>R2/H2</f>
        <v>443.04539726807059</v>
      </c>
      <c r="L2" s="8">
        <f>O2/(G2*17)</f>
        <v>28.957215507717034</v>
      </c>
      <c r="M2" s="8">
        <f>SUM(M4:M495)</f>
        <v>864923.07000000007</v>
      </c>
      <c r="N2" s="8">
        <f>SUM(N4:N495)</f>
        <v>0</v>
      </c>
      <c r="O2" s="8">
        <f>SUM(O4:O495)</f>
        <v>864923.07000000007</v>
      </c>
      <c r="P2" s="9">
        <f>Q2/O2</f>
        <v>9.9999999999999992E-2</v>
      </c>
      <c r="Q2" s="8">
        <f>SUM(Q4:Q495)</f>
        <v>86492.307000000001</v>
      </c>
      <c r="R2" s="10">
        <f>SUM(R4:R495)</f>
        <v>778430.76300000004</v>
      </c>
      <c r="S2" s="10">
        <f>SUM(S4:S495)</f>
        <v>0</v>
      </c>
      <c r="T2" s="10">
        <f>SUM(T4:T495)</f>
        <v>778430.76300000004</v>
      </c>
      <c r="V2" s="12"/>
    </row>
    <row r="3" spans="2:22" ht="15.75" thickBot="1" x14ac:dyDescent="0.3">
      <c r="B3" s="13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4" t="s">
        <v>6</v>
      </c>
      <c r="H3" s="14" t="s">
        <v>7</v>
      </c>
      <c r="I3" s="14" t="s">
        <v>8</v>
      </c>
      <c r="J3" s="14" t="s">
        <v>9</v>
      </c>
      <c r="K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6" t="s">
        <v>17</v>
      </c>
      <c r="S3" s="17" t="s">
        <v>18</v>
      </c>
      <c r="T3" s="17" t="s">
        <v>19</v>
      </c>
    </row>
    <row r="4" spans="2:22" x14ac:dyDescent="0.25">
      <c r="B4" s="18">
        <v>46135</v>
      </c>
      <c r="C4" s="19">
        <v>19</v>
      </c>
      <c r="D4" s="19" t="s">
        <v>20</v>
      </c>
      <c r="E4" s="19" t="s">
        <v>29</v>
      </c>
      <c r="F4" s="19" t="s">
        <v>34</v>
      </c>
      <c r="G4" s="20">
        <v>34</v>
      </c>
      <c r="H4" s="20">
        <v>34</v>
      </c>
      <c r="I4" s="44"/>
      <c r="J4" s="43">
        <f>G4-H4-I4</f>
        <v>0</v>
      </c>
      <c r="K4" s="21">
        <v>600</v>
      </c>
      <c r="L4" s="40">
        <f>O4/H4/12.5</f>
        <v>48</v>
      </c>
      <c r="M4" s="40">
        <f t="shared" ref="M4:M36" si="0">K4*H4</f>
        <v>20400</v>
      </c>
      <c r="N4" s="21">
        <v>0</v>
      </c>
      <c r="O4" s="40">
        <f t="shared" ref="O4:O36" si="1">IF(H4="",0,M4-N4)</f>
        <v>20400</v>
      </c>
      <c r="P4" s="22">
        <v>0.1</v>
      </c>
      <c r="Q4" s="40">
        <f>O4*P4</f>
        <v>2040</v>
      </c>
      <c r="R4" s="42">
        <f t="shared" ref="R4:R36" si="2">IF(J4=0,O4-Q4,0)</f>
        <v>18360</v>
      </c>
      <c r="S4" s="40">
        <f t="shared" ref="S4:S36" si="3">IF(J4=0,0,(J4*K4)-N4-(J4*K4-N4)*P4)</f>
        <v>0</v>
      </c>
      <c r="T4" s="23">
        <f t="shared" ref="T4:T67" si="4">R4+S4</f>
        <v>18360</v>
      </c>
    </row>
    <row r="5" spans="2:22" x14ac:dyDescent="0.25">
      <c r="B5" s="24">
        <v>46140</v>
      </c>
      <c r="C5" s="25">
        <v>25</v>
      </c>
      <c r="D5" s="25" t="s">
        <v>20</v>
      </c>
      <c r="E5" s="25" t="s">
        <v>21</v>
      </c>
      <c r="F5" s="25" t="s">
        <v>34</v>
      </c>
      <c r="G5" s="26">
        <v>83</v>
      </c>
      <c r="H5" s="20">
        <v>83</v>
      </c>
      <c r="I5" s="44"/>
      <c r="J5" s="43">
        <f t="shared" ref="J5:J68" si="5">G5-H5-I5</f>
        <v>0</v>
      </c>
      <c r="K5" s="27">
        <v>653.30999999999995</v>
      </c>
      <c r="L5" s="40">
        <f>O5/H5/12.5</f>
        <v>52.264799999999994</v>
      </c>
      <c r="M5" s="41">
        <f t="shared" si="0"/>
        <v>54224.729999999996</v>
      </c>
      <c r="N5" s="27">
        <v>0</v>
      </c>
      <c r="O5" s="40">
        <f t="shared" si="1"/>
        <v>54224.729999999996</v>
      </c>
      <c r="P5" s="22">
        <v>0.1</v>
      </c>
      <c r="Q5" s="40">
        <f t="shared" ref="Q5:Q68" si="6">O5*P5</f>
        <v>5422.473</v>
      </c>
      <c r="R5" s="42">
        <f t="shared" si="2"/>
        <v>48802.256999999998</v>
      </c>
      <c r="S5" s="40">
        <f t="shared" si="3"/>
        <v>0</v>
      </c>
      <c r="T5" s="23">
        <f t="shared" si="4"/>
        <v>48802.256999999998</v>
      </c>
    </row>
    <row r="6" spans="2:22" x14ac:dyDescent="0.25">
      <c r="B6" s="24">
        <v>46142</v>
      </c>
      <c r="C6" s="25">
        <v>26</v>
      </c>
      <c r="D6" s="25" t="s">
        <v>20</v>
      </c>
      <c r="E6" s="25" t="s">
        <v>29</v>
      </c>
      <c r="F6" s="25" t="s">
        <v>34</v>
      </c>
      <c r="G6" s="26">
        <v>101</v>
      </c>
      <c r="H6" s="20">
        <v>101</v>
      </c>
      <c r="I6" s="44"/>
      <c r="J6" s="43">
        <f t="shared" si="5"/>
        <v>0</v>
      </c>
      <c r="K6" s="27">
        <v>648.12</v>
      </c>
      <c r="L6" s="40">
        <f t="shared" ref="L6:L68" si="7">K6/17</f>
        <v>38.124705882352941</v>
      </c>
      <c r="M6" s="41">
        <f t="shared" si="0"/>
        <v>65460.12</v>
      </c>
      <c r="N6" s="27">
        <v>0</v>
      </c>
      <c r="O6" s="40">
        <f t="shared" si="1"/>
        <v>65460.12</v>
      </c>
      <c r="P6" s="22">
        <v>0.1</v>
      </c>
      <c r="Q6" s="40">
        <f t="shared" si="6"/>
        <v>6546.0120000000006</v>
      </c>
      <c r="R6" s="42">
        <f t="shared" si="2"/>
        <v>58914.108</v>
      </c>
      <c r="S6" s="40">
        <f t="shared" si="3"/>
        <v>0</v>
      </c>
      <c r="T6" s="23">
        <f t="shared" si="4"/>
        <v>58914.108</v>
      </c>
    </row>
    <row r="7" spans="2:22" x14ac:dyDescent="0.25">
      <c r="B7" s="24">
        <v>46144</v>
      </c>
      <c r="C7" s="25">
        <v>31</v>
      </c>
      <c r="D7" s="25" t="s">
        <v>20</v>
      </c>
      <c r="E7" s="25" t="s">
        <v>21</v>
      </c>
      <c r="F7" s="25" t="s">
        <v>34</v>
      </c>
      <c r="G7" s="26">
        <v>171</v>
      </c>
      <c r="H7" s="20">
        <v>171</v>
      </c>
      <c r="I7" s="44"/>
      <c r="J7" s="43">
        <f t="shared" si="5"/>
        <v>0</v>
      </c>
      <c r="K7" s="27">
        <v>648.83000000000004</v>
      </c>
      <c r="L7" s="40">
        <f t="shared" si="7"/>
        <v>38.166470588235299</v>
      </c>
      <c r="M7" s="41">
        <f t="shared" si="0"/>
        <v>110949.93000000001</v>
      </c>
      <c r="N7" s="27">
        <v>0</v>
      </c>
      <c r="O7" s="40">
        <f t="shared" si="1"/>
        <v>110949.93000000001</v>
      </c>
      <c r="P7" s="22">
        <v>0.1</v>
      </c>
      <c r="Q7" s="40">
        <f t="shared" si="6"/>
        <v>11094.993000000002</v>
      </c>
      <c r="R7" s="42">
        <f t="shared" si="2"/>
        <v>99854.937000000005</v>
      </c>
      <c r="S7" s="40">
        <f t="shared" si="3"/>
        <v>0</v>
      </c>
      <c r="T7" s="23">
        <f t="shared" si="4"/>
        <v>99854.937000000005</v>
      </c>
    </row>
    <row r="8" spans="2:22" x14ac:dyDescent="0.25">
      <c r="B8" s="24">
        <v>46147</v>
      </c>
      <c r="C8" s="25">
        <v>33</v>
      </c>
      <c r="D8" s="25" t="s">
        <v>20</v>
      </c>
      <c r="E8" s="25" t="s">
        <v>24</v>
      </c>
      <c r="F8" s="25" t="s">
        <v>34</v>
      </c>
      <c r="G8" s="26">
        <v>211</v>
      </c>
      <c r="H8" s="20">
        <v>211</v>
      </c>
      <c r="I8" s="44"/>
      <c r="J8" s="43">
        <f t="shared" si="5"/>
        <v>0</v>
      </c>
      <c r="K8" s="27">
        <f>639.05</f>
        <v>639.04999999999995</v>
      </c>
      <c r="L8" s="40">
        <f t="shared" si="7"/>
        <v>37.591176470588231</v>
      </c>
      <c r="M8" s="41">
        <f t="shared" si="0"/>
        <v>134839.54999999999</v>
      </c>
      <c r="N8" s="27">
        <v>0</v>
      </c>
      <c r="O8" s="40">
        <f t="shared" si="1"/>
        <v>134839.54999999999</v>
      </c>
      <c r="P8" s="22">
        <v>0.1</v>
      </c>
      <c r="Q8" s="40">
        <f t="shared" si="6"/>
        <v>13483.955</v>
      </c>
      <c r="R8" s="42">
        <f t="shared" si="2"/>
        <v>121355.59499999999</v>
      </c>
      <c r="S8" s="40">
        <f t="shared" si="3"/>
        <v>0</v>
      </c>
      <c r="T8" s="23">
        <f t="shared" si="4"/>
        <v>121355.59499999999</v>
      </c>
    </row>
    <row r="9" spans="2:22" x14ac:dyDescent="0.25">
      <c r="B9" s="24">
        <v>46149</v>
      </c>
      <c r="C9" s="25">
        <v>35</v>
      </c>
      <c r="D9" s="25" t="s">
        <v>20</v>
      </c>
      <c r="E9" s="25" t="s">
        <v>23</v>
      </c>
      <c r="F9" s="25" t="s">
        <v>34</v>
      </c>
      <c r="G9" s="26">
        <v>1</v>
      </c>
      <c r="H9" s="20">
        <v>1</v>
      </c>
      <c r="I9" s="44"/>
      <c r="J9" s="43">
        <f t="shared" si="5"/>
        <v>0</v>
      </c>
      <c r="K9" s="27">
        <v>620</v>
      </c>
      <c r="L9" s="40">
        <f t="shared" si="7"/>
        <v>36.470588235294116</v>
      </c>
      <c r="M9" s="41">
        <f t="shared" si="0"/>
        <v>620</v>
      </c>
      <c r="N9" s="27">
        <v>0</v>
      </c>
      <c r="O9" s="40">
        <f t="shared" si="1"/>
        <v>620</v>
      </c>
      <c r="P9" s="22">
        <v>0.1</v>
      </c>
      <c r="Q9" s="40">
        <f t="shared" si="6"/>
        <v>62</v>
      </c>
      <c r="R9" s="42">
        <f t="shared" si="2"/>
        <v>558</v>
      </c>
      <c r="S9" s="40">
        <f t="shared" si="3"/>
        <v>0</v>
      </c>
      <c r="T9" s="23">
        <f t="shared" si="4"/>
        <v>558</v>
      </c>
    </row>
    <row r="10" spans="2:22" x14ac:dyDescent="0.25">
      <c r="B10" s="24">
        <v>46150</v>
      </c>
      <c r="C10" s="25">
        <v>38</v>
      </c>
      <c r="D10" s="25" t="s">
        <v>20</v>
      </c>
      <c r="E10" s="25" t="s">
        <v>23</v>
      </c>
      <c r="F10" s="25" t="s">
        <v>34</v>
      </c>
      <c r="G10" s="26">
        <v>50</v>
      </c>
      <c r="H10" s="20">
        <v>50</v>
      </c>
      <c r="I10" s="44"/>
      <c r="J10" s="43">
        <f t="shared" si="5"/>
        <v>0</v>
      </c>
      <c r="K10" s="27">
        <v>480</v>
      </c>
      <c r="L10" s="40">
        <f t="shared" si="7"/>
        <v>28.235294117647058</v>
      </c>
      <c r="M10" s="41">
        <f t="shared" si="0"/>
        <v>24000</v>
      </c>
      <c r="N10" s="27">
        <v>0</v>
      </c>
      <c r="O10" s="40">
        <f t="shared" si="1"/>
        <v>24000</v>
      </c>
      <c r="P10" s="22">
        <v>0.1</v>
      </c>
      <c r="Q10" s="40">
        <f t="shared" si="6"/>
        <v>2400</v>
      </c>
      <c r="R10" s="42">
        <f t="shared" si="2"/>
        <v>21600</v>
      </c>
      <c r="S10" s="40">
        <f t="shared" si="3"/>
        <v>0</v>
      </c>
      <c r="T10" s="23">
        <f t="shared" si="4"/>
        <v>21600</v>
      </c>
    </row>
    <row r="11" spans="2:22" x14ac:dyDescent="0.25">
      <c r="B11" s="24">
        <v>46150</v>
      </c>
      <c r="C11" s="25">
        <v>39</v>
      </c>
      <c r="D11" s="25" t="s">
        <v>20</v>
      </c>
      <c r="E11" s="25" t="s">
        <v>21</v>
      </c>
      <c r="F11" s="25" t="s">
        <v>34</v>
      </c>
      <c r="G11" s="26">
        <v>240</v>
      </c>
      <c r="H11" s="20">
        <v>240</v>
      </c>
      <c r="I11" s="44"/>
      <c r="J11" s="43">
        <f t="shared" si="5"/>
        <v>0</v>
      </c>
      <c r="K11" s="27">
        <v>450</v>
      </c>
      <c r="L11" s="40">
        <f t="shared" si="7"/>
        <v>26.470588235294116</v>
      </c>
      <c r="M11" s="41">
        <f t="shared" si="0"/>
        <v>108000</v>
      </c>
      <c r="N11" s="27">
        <v>0</v>
      </c>
      <c r="O11" s="40">
        <f t="shared" si="1"/>
        <v>108000</v>
      </c>
      <c r="P11" s="22">
        <v>0.1</v>
      </c>
      <c r="Q11" s="40">
        <f t="shared" si="6"/>
        <v>10800</v>
      </c>
      <c r="R11" s="42">
        <f t="shared" si="2"/>
        <v>97200</v>
      </c>
      <c r="S11" s="40">
        <f t="shared" si="3"/>
        <v>0</v>
      </c>
      <c r="T11" s="23">
        <f t="shared" si="4"/>
        <v>97200</v>
      </c>
    </row>
    <row r="12" spans="2:22" x14ac:dyDescent="0.25">
      <c r="B12" s="24">
        <v>46151</v>
      </c>
      <c r="C12" s="25">
        <v>41</v>
      </c>
      <c r="D12" s="25" t="s">
        <v>20</v>
      </c>
      <c r="E12" s="25" t="s">
        <v>32</v>
      </c>
      <c r="F12" s="25" t="s">
        <v>34</v>
      </c>
      <c r="G12" s="26">
        <v>7</v>
      </c>
      <c r="H12" s="20">
        <v>7</v>
      </c>
      <c r="I12" s="44"/>
      <c r="J12" s="43">
        <f t="shared" si="5"/>
        <v>0</v>
      </c>
      <c r="K12" s="27">
        <v>460</v>
      </c>
      <c r="L12" s="40">
        <f t="shared" si="7"/>
        <v>27.058823529411764</v>
      </c>
      <c r="M12" s="41">
        <f t="shared" si="0"/>
        <v>3220</v>
      </c>
      <c r="N12" s="27">
        <v>0</v>
      </c>
      <c r="O12" s="40">
        <f t="shared" si="1"/>
        <v>3220</v>
      </c>
      <c r="P12" s="22">
        <v>0.1</v>
      </c>
      <c r="Q12" s="40">
        <f t="shared" si="6"/>
        <v>322</v>
      </c>
      <c r="R12" s="42">
        <f t="shared" si="2"/>
        <v>2898</v>
      </c>
      <c r="S12" s="40">
        <f t="shared" si="3"/>
        <v>0</v>
      </c>
      <c r="T12" s="23">
        <f t="shared" si="4"/>
        <v>2898</v>
      </c>
    </row>
    <row r="13" spans="2:22" x14ac:dyDescent="0.25">
      <c r="B13" s="24">
        <v>46153</v>
      </c>
      <c r="C13" s="25">
        <v>42</v>
      </c>
      <c r="D13" s="25" t="s">
        <v>20</v>
      </c>
      <c r="E13" s="25" t="s">
        <v>98</v>
      </c>
      <c r="F13" s="25" t="s">
        <v>34</v>
      </c>
      <c r="G13" s="26">
        <v>80</v>
      </c>
      <c r="H13" s="20">
        <v>80</v>
      </c>
      <c r="I13" s="44"/>
      <c r="J13" s="43">
        <f t="shared" si="5"/>
        <v>0</v>
      </c>
      <c r="K13" s="27">
        <v>430</v>
      </c>
      <c r="L13" s="40">
        <f t="shared" si="7"/>
        <v>25.294117647058822</v>
      </c>
      <c r="M13" s="41">
        <f t="shared" si="0"/>
        <v>34400</v>
      </c>
      <c r="N13" s="27">
        <v>0</v>
      </c>
      <c r="O13" s="40">
        <f t="shared" si="1"/>
        <v>34400</v>
      </c>
      <c r="P13" s="22">
        <v>0.1</v>
      </c>
      <c r="Q13" s="40">
        <f t="shared" si="6"/>
        <v>3440</v>
      </c>
      <c r="R13" s="42">
        <f t="shared" si="2"/>
        <v>30960</v>
      </c>
      <c r="S13" s="40">
        <f t="shared" si="3"/>
        <v>0</v>
      </c>
      <c r="T13" s="23">
        <f t="shared" si="4"/>
        <v>30960</v>
      </c>
    </row>
    <row r="14" spans="2:22" x14ac:dyDescent="0.25">
      <c r="B14" s="24">
        <v>46153</v>
      </c>
      <c r="C14" s="25">
        <v>43</v>
      </c>
      <c r="D14" s="25" t="s">
        <v>20</v>
      </c>
      <c r="E14" s="25" t="s">
        <v>23</v>
      </c>
      <c r="F14" s="25" t="s">
        <v>34</v>
      </c>
      <c r="G14" s="26">
        <v>39</v>
      </c>
      <c r="H14" s="20">
        <v>39</v>
      </c>
      <c r="I14" s="44"/>
      <c r="J14" s="43">
        <f t="shared" si="5"/>
        <v>0</v>
      </c>
      <c r="K14" s="27">
        <v>388.46</v>
      </c>
      <c r="L14" s="40">
        <f t="shared" si="7"/>
        <v>22.850588235294115</v>
      </c>
      <c r="M14" s="41">
        <f t="shared" si="0"/>
        <v>15149.939999999999</v>
      </c>
      <c r="N14" s="27">
        <v>0</v>
      </c>
      <c r="O14" s="40">
        <f t="shared" si="1"/>
        <v>15149.939999999999</v>
      </c>
      <c r="P14" s="22">
        <v>0.1</v>
      </c>
      <c r="Q14" s="40">
        <f t="shared" si="6"/>
        <v>1514.9939999999999</v>
      </c>
      <c r="R14" s="42">
        <f t="shared" si="2"/>
        <v>13634.945999999998</v>
      </c>
      <c r="S14" s="40">
        <f t="shared" si="3"/>
        <v>0</v>
      </c>
      <c r="T14" s="23">
        <f t="shared" si="4"/>
        <v>13634.945999999998</v>
      </c>
    </row>
    <row r="15" spans="2:22" x14ac:dyDescent="0.25">
      <c r="B15" s="24">
        <v>46153</v>
      </c>
      <c r="C15" s="25">
        <v>44</v>
      </c>
      <c r="D15" s="25" t="s">
        <v>20</v>
      </c>
      <c r="E15" s="25" t="s">
        <v>29</v>
      </c>
      <c r="F15" s="25" t="s">
        <v>34</v>
      </c>
      <c r="G15" s="26">
        <v>240</v>
      </c>
      <c r="H15" s="20">
        <v>240</v>
      </c>
      <c r="I15" s="19"/>
      <c r="J15" s="43">
        <f t="shared" si="5"/>
        <v>0</v>
      </c>
      <c r="K15" s="27">
        <v>400</v>
      </c>
      <c r="L15" s="40">
        <f t="shared" si="7"/>
        <v>23.529411764705884</v>
      </c>
      <c r="M15" s="41">
        <f t="shared" si="0"/>
        <v>96000</v>
      </c>
      <c r="N15" s="27">
        <v>0</v>
      </c>
      <c r="O15" s="40">
        <f t="shared" si="1"/>
        <v>96000</v>
      </c>
      <c r="P15" s="22">
        <v>0.1</v>
      </c>
      <c r="Q15" s="40">
        <f t="shared" si="6"/>
        <v>9600</v>
      </c>
      <c r="R15" s="42">
        <f t="shared" si="2"/>
        <v>86400</v>
      </c>
      <c r="S15" s="40">
        <f t="shared" si="3"/>
        <v>0</v>
      </c>
      <c r="T15" s="23">
        <f t="shared" si="4"/>
        <v>86400</v>
      </c>
      <c r="U15" s="37"/>
      <c r="V15" s="38"/>
    </row>
    <row r="16" spans="2:22" x14ac:dyDescent="0.25">
      <c r="B16" s="24">
        <v>46153</v>
      </c>
      <c r="C16" s="25">
        <v>45</v>
      </c>
      <c r="D16" s="25" t="s">
        <v>20</v>
      </c>
      <c r="E16" s="25" t="s">
        <v>25</v>
      </c>
      <c r="F16" s="25" t="s">
        <v>34</v>
      </c>
      <c r="G16" s="26">
        <v>330</v>
      </c>
      <c r="H16" s="20">
        <v>330</v>
      </c>
      <c r="I16" s="19"/>
      <c r="J16" s="43">
        <f t="shared" si="5"/>
        <v>0</v>
      </c>
      <c r="K16" s="27">
        <v>398.36</v>
      </c>
      <c r="L16" s="40">
        <f t="shared" si="7"/>
        <v>23.432941176470589</v>
      </c>
      <c r="M16" s="41">
        <f t="shared" si="0"/>
        <v>131458.80000000002</v>
      </c>
      <c r="N16" s="27">
        <v>0</v>
      </c>
      <c r="O16" s="40">
        <f t="shared" si="1"/>
        <v>131458.80000000002</v>
      </c>
      <c r="P16" s="22">
        <v>0.1</v>
      </c>
      <c r="Q16" s="40">
        <f t="shared" si="6"/>
        <v>13145.880000000003</v>
      </c>
      <c r="R16" s="42">
        <f t="shared" si="2"/>
        <v>118312.92000000001</v>
      </c>
      <c r="S16" s="40">
        <f t="shared" si="3"/>
        <v>0</v>
      </c>
      <c r="T16" s="23">
        <f t="shared" si="4"/>
        <v>118312.92000000001</v>
      </c>
      <c r="U16" s="37"/>
      <c r="V16" s="39"/>
    </row>
    <row r="17" spans="2:20" x14ac:dyDescent="0.25">
      <c r="B17" s="24">
        <v>46155</v>
      </c>
      <c r="C17" s="25">
        <v>47</v>
      </c>
      <c r="D17" s="25" t="s">
        <v>20</v>
      </c>
      <c r="E17" s="25" t="s">
        <v>23</v>
      </c>
      <c r="F17" s="25" t="s">
        <v>34</v>
      </c>
      <c r="G17" s="26">
        <v>70</v>
      </c>
      <c r="H17" s="20">
        <v>70</v>
      </c>
      <c r="I17" s="19"/>
      <c r="J17" s="43">
        <f t="shared" si="5"/>
        <v>0</v>
      </c>
      <c r="K17" s="27">
        <v>380</v>
      </c>
      <c r="L17" s="40">
        <f t="shared" si="7"/>
        <v>22.352941176470587</v>
      </c>
      <c r="M17" s="41">
        <f t="shared" si="0"/>
        <v>26600</v>
      </c>
      <c r="N17" s="27">
        <v>0</v>
      </c>
      <c r="O17" s="40">
        <f t="shared" si="1"/>
        <v>26600</v>
      </c>
      <c r="P17" s="22">
        <v>0.1</v>
      </c>
      <c r="Q17" s="40">
        <f t="shared" si="6"/>
        <v>2660</v>
      </c>
      <c r="R17" s="42">
        <f t="shared" si="2"/>
        <v>23940</v>
      </c>
      <c r="S17" s="40">
        <f t="shared" si="3"/>
        <v>0</v>
      </c>
      <c r="T17" s="23">
        <f t="shared" si="4"/>
        <v>23940</v>
      </c>
    </row>
    <row r="18" spans="2:20" x14ac:dyDescent="0.25">
      <c r="B18" s="24">
        <v>46155</v>
      </c>
      <c r="C18" s="25">
        <v>48</v>
      </c>
      <c r="D18" s="25" t="s">
        <v>20</v>
      </c>
      <c r="E18" s="25" t="s">
        <v>98</v>
      </c>
      <c r="F18" s="25" t="s">
        <v>34</v>
      </c>
      <c r="G18" s="28">
        <v>80</v>
      </c>
      <c r="H18" s="29">
        <v>80</v>
      </c>
      <c r="I18" s="19"/>
      <c r="J18" s="43">
        <f t="shared" si="5"/>
        <v>0</v>
      </c>
      <c r="K18" s="27">
        <v>400</v>
      </c>
      <c r="L18" s="40">
        <f t="shared" si="7"/>
        <v>23.529411764705884</v>
      </c>
      <c r="M18" s="41">
        <f t="shared" si="0"/>
        <v>32000</v>
      </c>
      <c r="N18" s="27">
        <v>0</v>
      </c>
      <c r="O18" s="40">
        <f t="shared" si="1"/>
        <v>32000</v>
      </c>
      <c r="P18" s="30">
        <v>0.1</v>
      </c>
      <c r="Q18" s="40">
        <f t="shared" si="6"/>
        <v>3200</v>
      </c>
      <c r="R18" s="42">
        <f t="shared" si="2"/>
        <v>28800</v>
      </c>
      <c r="S18" s="40">
        <f t="shared" si="3"/>
        <v>0</v>
      </c>
      <c r="T18" s="23">
        <f t="shared" si="4"/>
        <v>28800</v>
      </c>
    </row>
    <row r="19" spans="2:20" x14ac:dyDescent="0.25">
      <c r="B19" s="24">
        <v>46155</v>
      </c>
      <c r="C19" s="25">
        <v>49</v>
      </c>
      <c r="D19" s="25" t="s">
        <v>20</v>
      </c>
      <c r="E19" s="25" t="s">
        <v>23</v>
      </c>
      <c r="F19" s="25" t="s">
        <v>34</v>
      </c>
      <c r="G19" s="28">
        <v>20</v>
      </c>
      <c r="H19" s="29">
        <v>20</v>
      </c>
      <c r="I19" s="19"/>
      <c r="J19" s="43">
        <f t="shared" si="5"/>
        <v>0</v>
      </c>
      <c r="K19" s="27">
        <v>380</v>
      </c>
      <c r="L19" s="40">
        <f t="shared" si="7"/>
        <v>22.352941176470587</v>
      </c>
      <c r="M19" s="41">
        <f t="shared" si="0"/>
        <v>7600</v>
      </c>
      <c r="N19" s="27">
        <v>0</v>
      </c>
      <c r="O19" s="40">
        <f t="shared" si="1"/>
        <v>7600</v>
      </c>
      <c r="P19" s="30">
        <v>0.1</v>
      </c>
      <c r="Q19" s="40">
        <f t="shared" si="6"/>
        <v>760</v>
      </c>
      <c r="R19" s="42">
        <f t="shared" si="2"/>
        <v>6840</v>
      </c>
      <c r="S19" s="40">
        <f t="shared" si="3"/>
        <v>0</v>
      </c>
      <c r="T19" s="23">
        <f t="shared" si="4"/>
        <v>6840</v>
      </c>
    </row>
    <row r="20" spans="2:20" x14ac:dyDescent="0.25">
      <c r="B20" s="24"/>
      <c r="C20" s="25"/>
      <c r="D20" s="25"/>
      <c r="E20" s="25"/>
      <c r="F20" s="25"/>
      <c r="G20" s="28"/>
      <c r="H20" s="29"/>
      <c r="I20" s="19"/>
      <c r="J20" s="43">
        <f t="shared" si="5"/>
        <v>0</v>
      </c>
      <c r="K20" s="27"/>
      <c r="L20" s="40">
        <f t="shared" si="7"/>
        <v>0</v>
      </c>
      <c r="M20" s="41">
        <f t="shared" si="0"/>
        <v>0</v>
      </c>
      <c r="N20" s="27">
        <v>0</v>
      </c>
      <c r="O20" s="40">
        <f t="shared" si="1"/>
        <v>0</v>
      </c>
      <c r="P20" s="30"/>
      <c r="Q20" s="40">
        <f t="shared" si="6"/>
        <v>0</v>
      </c>
      <c r="R20" s="42">
        <f t="shared" si="2"/>
        <v>0</v>
      </c>
      <c r="S20" s="40">
        <f t="shared" si="3"/>
        <v>0</v>
      </c>
      <c r="T20" s="23">
        <f t="shared" si="4"/>
        <v>0</v>
      </c>
    </row>
    <row r="21" spans="2:20" x14ac:dyDescent="0.25">
      <c r="B21" s="24"/>
      <c r="C21" s="25"/>
      <c r="D21" s="25"/>
      <c r="E21" s="25"/>
      <c r="F21" s="25"/>
      <c r="G21" s="28"/>
      <c r="H21" s="29"/>
      <c r="I21" s="19"/>
      <c r="J21" s="43">
        <f t="shared" si="5"/>
        <v>0</v>
      </c>
      <c r="K21" s="31"/>
      <c r="L21" s="40">
        <f t="shared" si="7"/>
        <v>0</v>
      </c>
      <c r="M21" s="41">
        <f t="shared" si="0"/>
        <v>0</v>
      </c>
      <c r="N21" s="27">
        <v>0</v>
      </c>
      <c r="O21" s="40">
        <f t="shared" si="1"/>
        <v>0</v>
      </c>
      <c r="P21" s="32"/>
      <c r="Q21" s="40">
        <f t="shared" si="6"/>
        <v>0</v>
      </c>
      <c r="R21" s="42">
        <f t="shared" si="2"/>
        <v>0</v>
      </c>
      <c r="S21" s="40">
        <f t="shared" si="3"/>
        <v>0</v>
      </c>
      <c r="T21" s="23">
        <f t="shared" si="4"/>
        <v>0</v>
      </c>
    </row>
    <row r="22" spans="2:20" x14ac:dyDescent="0.25">
      <c r="B22" s="24"/>
      <c r="C22" s="25"/>
      <c r="D22" s="25"/>
      <c r="E22" s="25"/>
      <c r="F22" s="25"/>
      <c r="G22" s="28"/>
      <c r="H22" s="29"/>
      <c r="I22" s="19"/>
      <c r="J22" s="43">
        <f t="shared" si="5"/>
        <v>0</v>
      </c>
      <c r="K22" s="31"/>
      <c r="L22" s="40">
        <f t="shared" si="7"/>
        <v>0</v>
      </c>
      <c r="M22" s="41">
        <f t="shared" si="0"/>
        <v>0</v>
      </c>
      <c r="N22" s="27">
        <v>0</v>
      </c>
      <c r="O22" s="40">
        <f t="shared" si="1"/>
        <v>0</v>
      </c>
      <c r="P22" s="32"/>
      <c r="Q22" s="40">
        <f t="shared" si="6"/>
        <v>0</v>
      </c>
      <c r="R22" s="42">
        <f t="shared" si="2"/>
        <v>0</v>
      </c>
      <c r="S22" s="40">
        <f t="shared" si="3"/>
        <v>0</v>
      </c>
      <c r="T22" s="23">
        <f t="shared" si="4"/>
        <v>0</v>
      </c>
    </row>
    <row r="23" spans="2:20" x14ac:dyDescent="0.25">
      <c r="B23" s="24"/>
      <c r="C23" s="25"/>
      <c r="D23" s="25"/>
      <c r="E23" s="25"/>
      <c r="F23" s="25"/>
      <c r="G23" s="28"/>
      <c r="H23" s="29"/>
      <c r="I23" s="19"/>
      <c r="J23" s="43">
        <f t="shared" si="5"/>
        <v>0</v>
      </c>
      <c r="K23" s="31"/>
      <c r="L23" s="40">
        <f t="shared" si="7"/>
        <v>0</v>
      </c>
      <c r="M23" s="41">
        <f t="shared" si="0"/>
        <v>0</v>
      </c>
      <c r="N23" s="27">
        <v>0</v>
      </c>
      <c r="O23" s="40">
        <f t="shared" si="1"/>
        <v>0</v>
      </c>
      <c r="P23" s="32"/>
      <c r="Q23" s="40">
        <f t="shared" si="6"/>
        <v>0</v>
      </c>
      <c r="R23" s="42">
        <f t="shared" si="2"/>
        <v>0</v>
      </c>
      <c r="S23" s="40">
        <f t="shared" si="3"/>
        <v>0</v>
      </c>
      <c r="T23" s="23">
        <f t="shared" si="4"/>
        <v>0</v>
      </c>
    </row>
    <row r="24" spans="2:20" x14ac:dyDescent="0.25">
      <c r="B24" s="24"/>
      <c r="C24" s="25"/>
      <c r="D24" s="25"/>
      <c r="E24" s="25"/>
      <c r="F24" s="25"/>
      <c r="G24" s="28"/>
      <c r="H24" s="29"/>
      <c r="I24" s="19"/>
      <c r="J24" s="43">
        <f t="shared" si="5"/>
        <v>0</v>
      </c>
      <c r="K24" s="31"/>
      <c r="L24" s="40">
        <f t="shared" si="7"/>
        <v>0</v>
      </c>
      <c r="M24" s="41">
        <f t="shared" si="0"/>
        <v>0</v>
      </c>
      <c r="N24" s="27">
        <v>0</v>
      </c>
      <c r="O24" s="40">
        <f t="shared" si="1"/>
        <v>0</v>
      </c>
      <c r="P24" s="32"/>
      <c r="Q24" s="40">
        <f t="shared" si="6"/>
        <v>0</v>
      </c>
      <c r="R24" s="42">
        <f t="shared" si="2"/>
        <v>0</v>
      </c>
      <c r="S24" s="40">
        <f t="shared" si="3"/>
        <v>0</v>
      </c>
      <c r="T24" s="23">
        <f t="shared" si="4"/>
        <v>0</v>
      </c>
    </row>
    <row r="25" spans="2:20" x14ac:dyDescent="0.25">
      <c r="B25" s="24"/>
      <c r="C25" s="25"/>
      <c r="D25" s="25"/>
      <c r="E25" s="25"/>
      <c r="F25" s="25"/>
      <c r="G25" s="28"/>
      <c r="H25" s="29"/>
      <c r="I25" s="19"/>
      <c r="J25" s="43">
        <f t="shared" si="5"/>
        <v>0</v>
      </c>
      <c r="K25" s="27"/>
      <c r="L25" s="40">
        <f t="shared" si="7"/>
        <v>0</v>
      </c>
      <c r="M25" s="41">
        <f t="shared" si="0"/>
        <v>0</v>
      </c>
      <c r="N25" s="27">
        <v>0</v>
      </c>
      <c r="O25" s="40">
        <f t="shared" si="1"/>
        <v>0</v>
      </c>
      <c r="P25" s="32"/>
      <c r="Q25" s="40">
        <f t="shared" si="6"/>
        <v>0</v>
      </c>
      <c r="R25" s="42">
        <f t="shared" si="2"/>
        <v>0</v>
      </c>
      <c r="S25" s="40">
        <f t="shared" si="3"/>
        <v>0</v>
      </c>
      <c r="T25" s="23">
        <f t="shared" si="4"/>
        <v>0</v>
      </c>
    </row>
    <row r="26" spans="2:20" x14ac:dyDescent="0.25">
      <c r="B26" s="24"/>
      <c r="C26" s="25"/>
      <c r="D26" s="25"/>
      <c r="E26" s="25"/>
      <c r="F26" s="25"/>
      <c r="G26" s="28"/>
      <c r="H26" s="29"/>
      <c r="I26" s="19"/>
      <c r="J26" s="43">
        <f t="shared" si="5"/>
        <v>0</v>
      </c>
      <c r="K26" s="31"/>
      <c r="L26" s="40">
        <f t="shared" si="7"/>
        <v>0</v>
      </c>
      <c r="M26" s="41">
        <f t="shared" si="0"/>
        <v>0</v>
      </c>
      <c r="N26" s="27">
        <v>0</v>
      </c>
      <c r="O26" s="40">
        <f t="shared" si="1"/>
        <v>0</v>
      </c>
      <c r="P26" s="32"/>
      <c r="Q26" s="40">
        <f t="shared" si="6"/>
        <v>0</v>
      </c>
      <c r="R26" s="42">
        <f t="shared" si="2"/>
        <v>0</v>
      </c>
      <c r="S26" s="40">
        <f t="shared" si="3"/>
        <v>0</v>
      </c>
      <c r="T26" s="23">
        <f t="shared" si="4"/>
        <v>0</v>
      </c>
    </row>
    <row r="27" spans="2:20" x14ac:dyDescent="0.25">
      <c r="B27" s="24"/>
      <c r="C27" s="25"/>
      <c r="D27" s="25"/>
      <c r="E27" s="25"/>
      <c r="F27" s="25"/>
      <c r="G27" s="28"/>
      <c r="H27" s="29"/>
      <c r="I27" s="19"/>
      <c r="J27" s="43">
        <f t="shared" si="5"/>
        <v>0</v>
      </c>
      <c r="K27" s="31"/>
      <c r="L27" s="40">
        <f t="shared" si="7"/>
        <v>0</v>
      </c>
      <c r="M27" s="41">
        <f t="shared" si="0"/>
        <v>0</v>
      </c>
      <c r="N27" s="27">
        <v>0</v>
      </c>
      <c r="O27" s="40">
        <f t="shared" si="1"/>
        <v>0</v>
      </c>
      <c r="P27" s="32"/>
      <c r="Q27" s="40">
        <f t="shared" si="6"/>
        <v>0</v>
      </c>
      <c r="R27" s="42">
        <f t="shared" si="2"/>
        <v>0</v>
      </c>
      <c r="S27" s="40">
        <f t="shared" si="3"/>
        <v>0</v>
      </c>
      <c r="T27" s="23">
        <f t="shared" si="4"/>
        <v>0</v>
      </c>
    </row>
    <row r="28" spans="2:20" x14ac:dyDescent="0.25">
      <c r="B28" s="24"/>
      <c r="C28" s="25"/>
      <c r="D28" s="25"/>
      <c r="E28" s="33"/>
      <c r="F28" s="25"/>
      <c r="G28" s="28"/>
      <c r="H28" s="29"/>
      <c r="I28" s="19"/>
      <c r="J28" s="43">
        <f t="shared" si="5"/>
        <v>0</v>
      </c>
      <c r="K28" s="27"/>
      <c r="L28" s="40">
        <f t="shared" si="7"/>
        <v>0</v>
      </c>
      <c r="M28" s="41">
        <f t="shared" si="0"/>
        <v>0</v>
      </c>
      <c r="N28" s="27">
        <v>0</v>
      </c>
      <c r="O28" s="40">
        <f t="shared" si="1"/>
        <v>0</v>
      </c>
      <c r="P28" s="32"/>
      <c r="Q28" s="40">
        <f t="shared" si="6"/>
        <v>0</v>
      </c>
      <c r="R28" s="42">
        <f t="shared" si="2"/>
        <v>0</v>
      </c>
      <c r="S28" s="40">
        <f t="shared" si="3"/>
        <v>0</v>
      </c>
      <c r="T28" s="23">
        <f t="shared" si="4"/>
        <v>0</v>
      </c>
    </row>
    <row r="29" spans="2:20" x14ac:dyDescent="0.25">
      <c r="B29" s="24"/>
      <c r="C29" s="25"/>
      <c r="D29" s="25"/>
      <c r="E29" s="25"/>
      <c r="F29" s="25"/>
      <c r="G29" s="28"/>
      <c r="H29" s="29"/>
      <c r="I29" s="19"/>
      <c r="J29" s="43">
        <f t="shared" si="5"/>
        <v>0</v>
      </c>
      <c r="K29" s="27"/>
      <c r="L29" s="40">
        <f t="shared" si="7"/>
        <v>0</v>
      </c>
      <c r="M29" s="41">
        <f t="shared" si="0"/>
        <v>0</v>
      </c>
      <c r="N29" s="27">
        <v>0</v>
      </c>
      <c r="O29" s="40">
        <f t="shared" si="1"/>
        <v>0</v>
      </c>
      <c r="P29" s="32"/>
      <c r="Q29" s="40">
        <f t="shared" si="6"/>
        <v>0</v>
      </c>
      <c r="R29" s="42">
        <f t="shared" si="2"/>
        <v>0</v>
      </c>
      <c r="S29" s="40">
        <f t="shared" si="3"/>
        <v>0</v>
      </c>
      <c r="T29" s="23">
        <f t="shared" si="4"/>
        <v>0</v>
      </c>
    </row>
    <row r="30" spans="2:20" x14ac:dyDescent="0.25">
      <c r="B30" s="24"/>
      <c r="C30" s="25"/>
      <c r="D30" s="25"/>
      <c r="E30" s="25"/>
      <c r="F30" s="25"/>
      <c r="G30" s="28"/>
      <c r="H30" s="29"/>
      <c r="I30" s="19"/>
      <c r="J30" s="43">
        <f t="shared" si="5"/>
        <v>0</v>
      </c>
      <c r="K30" s="27"/>
      <c r="L30" s="40">
        <f t="shared" si="7"/>
        <v>0</v>
      </c>
      <c r="M30" s="41">
        <f t="shared" si="0"/>
        <v>0</v>
      </c>
      <c r="N30" s="27">
        <v>0</v>
      </c>
      <c r="O30" s="40">
        <f t="shared" si="1"/>
        <v>0</v>
      </c>
      <c r="P30" s="32"/>
      <c r="Q30" s="40">
        <f t="shared" si="6"/>
        <v>0</v>
      </c>
      <c r="R30" s="42">
        <f t="shared" si="2"/>
        <v>0</v>
      </c>
      <c r="S30" s="40">
        <f t="shared" si="3"/>
        <v>0</v>
      </c>
      <c r="T30" s="23">
        <f t="shared" si="4"/>
        <v>0</v>
      </c>
    </row>
    <row r="31" spans="2:20" x14ac:dyDescent="0.25">
      <c r="B31" s="24"/>
      <c r="C31" s="25"/>
      <c r="D31" s="25"/>
      <c r="E31" s="25"/>
      <c r="F31" s="25"/>
      <c r="G31" s="28"/>
      <c r="H31" s="29"/>
      <c r="I31" s="19"/>
      <c r="J31" s="43">
        <f t="shared" si="5"/>
        <v>0</v>
      </c>
      <c r="K31" s="31"/>
      <c r="L31" s="40">
        <f t="shared" si="7"/>
        <v>0</v>
      </c>
      <c r="M31" s="41">
        <f t="shared" si="0"/>
        <v>0</v>
      </c>
      <c r="N31" s="27">
        <v>0</v>
      </c>
      <c r="O31" s="40">
        <f t="shared" si="1"/>
        <v>0</v>
      </c>
      <c r="P31" s="32"/>
      <c r="Q31" s="40">
        <f t="shared" si="6"/>
        <v>0</v>
      </c>
      <c r="R31" s="42">
        <f t="shared" si="2"/>
        <v>0</v>
      </c>
      <c r="S31" s="40">
        <f t="shared" si="3"/>
        <v>0</v>
      </c>
      <c r="T31" s="23">
        <f t="shared" si="4"/>
        <v>0</v>
      </c>
    </row>
    <row r="32" spans="2:20" x14ac:dyDescent="0.25">
      <c r="B32" s="24"/>
      <c r="C32" s="25"/>
      <c r="D32" s="25"/>
      <c r="E32" s="25"/>
      <c r="F32" s="25"/>
      <c r="G32" s="28"/>
      <c r="H32" s="29"/>
      <c r="I32" s="19"/>
      <c r="J32" s="43">
        <f t="shared" si="5"/>
        <v>0</v>
      </c>
      <c r="K32" s="27"/>
      <c r="L32" s="40">
        <f t="shared" si="7"/>
        <v>0</v>
      </c>
      <c r="M32" s="41">
        <f t="shared" si="0"/>
        <v>0</v>
      </c>
      <c r="N32" s="27">
        <v>0</v>
      </c>
      <c r="O32" s="40">
        <f t="shared" si="1"/>
        <v>0</v>
      </c>
      <c r="P32" s="32"/>
      <c r="Q32" s="40">
        <f t="shared" si="6"/>
        <v>0</v>
      </c>
      <c r="R32" s="42">
        <f t="shared" si="2"/>
        <v>0</v>
      </c>
      <c r="S32" s="40">
        <f t="shared" si="3"/>
        <v>0</v>
      </c>
      <c r="T32" s="23">
        <f t="shared" si="4"/>
        <v>0</v>
      </c>
    </row>
    <row r="33" spans="2:29" x14ac:dyDescent="0.25">
      <c r="B33" s="24"/>
      <c r="C33" s="25"/>
      <c r="D33" s="25"/>
      <c r="E33" s="25"/>
      <c r="F33" s="25"/>
      <c r="G33" s="28"/>
      <c r="H33" s="29"/>
      <c r="I33" s="19"/>
      <c r="J33" s="43">
        <f t="shared" si="5"/>
        <v>0</v>
      </c>
      <c r="K33" s="27"/>
      <c r="L33" s="40">
        <f t="shared" si="7"/>
        <v>0</v>
      </c>
      <c r="M33" s="41">
        <f t="shared" si="0"/>
        <v>0</v>
      </c>
      <c r="N33" s="27">
        <v>0</v>
      </c>
      <c r="O33" s="40">
        <f t="shared" si="1"/>
        <v>0</v>
      </c>
      <c r="P33" s="32"/>
      <c r="Q33" s="40">
        <f t="shared" si="6"/>
        <v>0</v>
      </c>
      <c r="R33" s="42">
        <f t="shared" si="2"/>
        <v>0</v>
      </c>
      <c r="S33" s="40">
        <f t="shared" si="3"/>
        <v>0</v>
      </c>
      <c r="T33" s="23">
        <f t="shared" si="4"/>
        <v>0</v>
      </c>
    </row>
    <row r="34" spans="2:29" x14ac:dyDescent="0.25">
      <c r="B34" s="24"/>
      <c r="C34" s="25"/>
      <c r="D34" s="25"/>
      <c r="E34" s="25"/>
      <c r="F34" s="25"/>
      <c r="G34" s="28"/>
      <c r="H34" s="29"/>
      <c r="I34" s="19"/>
      <c r="J34" s="43">
        <f t="shared" si="5"/>
        <v>0</v>
      </c>
      <c r="K34" s="31"/>
      <c r="L34" s="40">
        <f t="shared" si="7"/>
        <v>0</v>
      </c>
      <c r="M34" s="41">
        <f t="shared" si="0"/>
        <v>0</v>
      </c>
      <c r="N34" s="27">
        <v>0</v>
      </c>
      <c r="O34" s="40">
        <f t="shared" si="1"/>
        <v>0</v>
      </c>
      <c r="P34" s="32"/>
      <c r="Q34" s="40">
        <f t="shared" si="6"/>
        <v>0</v>
      </c>
      <c r="R34" s="42">
        <f t="shared" si="2"/>
        <v>0</v>
      </c>
      <c r="S34" s="40">
        <f t="shared" si="3"/>
        <v>0</v>
      </c>
      <c r="T34" s="23">
        <f t="shared" si="4"/>
        <v>0</v>
      </c>
    </row>
    <row r="35" spans="2:29" x14ac:dyDescent="0.25">
      <c r="B35" s="24"/>
      <c r="C35" s="25"/>
      <c r="D35" s="25"/>
      <c r="E35" s="25"/>
      <c r="F35" s="25"/>
      <c r="G35" s="28"/>
      <c r="H35" s="29"/>
      <c r="I35" s="19"/>
      <c r="J35" s="43">
        <f t="shared" si="5"/>
        <v>0</v>
      </c>
      <c r="K35" s="27"/>
      <c r="L35" s="40">
        <f t="shared" si="7"/>
        <v>0</v>
      </c>
      <c r="M35" s="41">
        <f t="shared" si="0"/>
        <v>0</v>
      </c>
      <c r="N35" s="27">
        <v>0</v>
      </c>
      <c r="O35" s="40">
        <f t="shared" si="1"/>
        <v>0</v>
      </c>
      <c r="P35" s="32"/>
      <c r="Q35" s="40">
        <f t="shared" si="6"/>
        <v>0</v>
      </c>
      <c r="R35" s="42">
        <f t="shared" si="2"/>
        <v>0</v>
      </c>
      <c r="S35" s="40">
        <f t="shared" si="3"/>
        <v>0</v>
      </c>
      <c r="T35" s="23">
        <f t="shared" si="4"/>
        <v>0</v>
      </c>
    </row>
    <row r="36" spans="2:29" x14ac:dyDescent="0.25">
      <c r="B36" s="24"/>
      <c r="C36" s="25"/>
      <c r="D36" s="25"/>
      <c r="E36" s="25"/>
      <c r="F36" s="25"/>
      <c r="G36" s="28"/>
      <c r="H36" s="29"/>
      <c r="I36" s="19"/>
      <c r="J36" s="43">
        <f t="shared" si="5"/>
        <v>0</v>
      </c>
      <c r="K36" s="27"/>
      <c r="L36" s="40">
        <f t="shared" si="7"/>
        <v>0</v>
      </c>
      <c r="M36" s="41">
        <f t="shared" si="0"/>
        <v>0</v>
      </c>
      <c r="N36" s="27">
        <v>0</v>
      </c>
      <c r="O36" s="40">
        <f t="shared" si="1"/>
        <v>0</v>
      </c>
      <c r="P36" s="32"/>
      <c r="Q36" s="40">
        <f t="shared" si="6"/>
        <v>0</v>
      </c>
      <c r="R36" s="42">
        <f t="shared" si="2"/>
        <v>0</v>
      </c>
      <c r="S36" s="40">
        <f t="shared" si="3"/>
        <v>0</v>
      </c>
      <c r="T36" s="23">
        <f t="shared" si="4"/>
        <v>0</v>
      </c>
    </row>
    <row r="37" spans="2:29" x14ac:dyDescent="0.25">
      <c r="B37" s="24"/>
      <c r="C37" s="25"/>
      <c r="D37" s="25"/>
      <c r="E37" s="25"/>
      <c r="F37" s="25"/>
      <c r="G37" s="28"/>
      <c r="H37" s="29"/>
      <c r="I37" s="19"/>
      <c r="J37" s="43">
        <f t="shared" si="5"/>
        <v>0</v>
      </c>
      <c r="K37" s="27"/>
      <c r="L37" s="40">
        <f t="shared" si="7"/>
        <v>0</v>
      </c>
      <c r="M37" s="41">
        <f t="shared" ref="M37:M68" si="8">K37*H37</f>
        <v>0</v>
      </c>
      <c r="N37" s="27">
        <v>0</v>
      </c>
      <c r="O37" s="40">
        <f t="shared" ref="O37:O68" si="9">IF(H37="",0,M37-N37)</f>
        <v>0</v>
      </c>
      <c r="P37" s="32"/>
      <c r="Q37" s="40">
        <f t="shared" si="6"/>
        <v>0</v>
      </c>
      <c r="R37" s="42">
        <f t="shared" ref="R37:R68" si="10">IF(J37=0,O37-Q37,0)</f>
        <v>0</v>
      </c>
      <c r="S37" s="40">
        <f t="shared" ref="S37:S68" si="11">IF(J37=0,0,(J37*K37)-N37-(J37*K37-N37)*P37)</f>
        <v>0</v>
      </c>
      <c r="T37" s="23">
        <f t="shared" si="4"/>
        <v>0</v>
      </c>
    </row>
    <row r="38" spans="2:29" x14ac:dyDescent="0.25">
      <c r="B38" s="24"/>
      <c r="C38" s="25"/>
      <c r="D38" s="25"/>
      <c r="E38" s="25"/>
      <c r="F38" s="25"/>
      <c r="G38" s="28"/>
      <c r="H38" s="29"/>
      <c r="I38" s="19"/>
      <c r="J38" s="43">
        <f t="shared" si="5"/>
        <v>0</v>
      </c>
      <c r="K38" s="27"/>
      <c r="L38" s="40">
        <f t="shared" si="7"/>
        <v>0</v>
      </c>
      <c r="M38" s="41">
        <f t="shared" si="8"/>
        <v>0</v>
      </c>
      <c r="N38" s="27">
        <v>0</v>
      </c>
      <c r="O38" s="40">
        <f t="shared" si="9"/>
        <v>0</v>
      </c>
      <c r="P38" s="32"/>
      <c r="Q38" s="40">
        <f t="shared" si="6"/>
        <v>0</v>
      </c>
      <c r="R38" s="42">
        <f t="shared" si="10"/>
        <v>0</v>
      </c>
      <c r="S38" s="40">
        <f t="shared" si="11"/>
        <v>0</v>
      </c>
      <c r="T38" s="23">
        <f t="shared" si="4"/>
        <v>0</v>
      </c>
    </row>
    <row r="39" spans="2:29" x14ac:dyDescent="0.25">
      <c r="B39" s="24"/>
      <c r="C39" s="25"/>
      <c r="D39" s="25"/>
      <c r="E39" s="25"/>
      <c r="F39" s="25"/>
      <c r="G39" s="28"/>
      <c r="H39" s="29"/>
      <c r="I39" s="19"/>
      <c r="J39" s="43">
        <f t="shared" si="5"/>
        <v>0</v>
      </c>
      <c r="K39" s="27"/>
      <c r="L39" s="40">
        <f t="shared" si="7"/>
        <v>0</v>
      </c>
      <c r="M39" s="41">
        <f t="shared" si="8"/>
        <v>0</v>
      </c>
      <c r="N39" s="27">
        <v>0</v>
      </c>
      <c r="O39" s="40">
        <f t="shared" si="9"/>
        <v>0</v>
      </c>
      <c r="P39" s="32"/>
      <c r="Q39" s="40">
        <f t="shared" si="6"/>
        <v>0</v>
      </c>
      <c r="R39" s="42">
        <f t="shared" si="10"/>
        <v>0</v>
      </c>
      <c r="S39" s="40">
        <f t="shared" si="11"/>
        <v>0</v>
      </c>
      <c r="T39" s="23">
        <f t="shared" si="4"/>
        <v>0</v>
      </c>
    </row>
    <row r="40" spans="2:29" x14ac:dyDescent="0.25">
      <c r="B40" s="24"/>
      <c r="C40" s="25"/>
      <c r="D40" s="25"/>
      <c r="E40" s="25"/>
      <c r="F40" s="25"/>
      <c r="G40" s="28"/>
      <c r="H40" s="29"/>
      <c r="I40" s="19"/>
      <c r="J40" s="43">
        <f t="shared" si="5"/>
        <v>0</v>
      </c>
      <c r="K40" s="31"/>
      <c r="L40" s="40">
        <f t="shared" si="7"/>
        <v>0</v>
      </c>
      <c r="M40" s="41">
        <f t="shared" si="8"/>
        <v>0</v>
      </c>
      <c r="N40" s="27">
        <v>0</v>
      </c>
      <c r="O40" s="40">
        <f t="shared" si="9"/>
        <v>0</v>
      </c>
      <c r="P40" s="32"/>
      <c r="Q40" s="40">
        <f t="shared" si="6"/>
        <v>0</v>
      </c>
      <c r="R40" s="42">
        <f t="shared" si="10"/>
        <v>0</v>
      </c>
      <c r="S40" s="40">
        <f t="shared" si="11"/>
        <v>0</v>
      </c>
      <c r="T40" s="23">
        <f t="shared" si="4"/>
        <v>0</v>
      </c>
      <c r="V40" s="34"/>
      <c r="W40" s="35"/>
      <c r="X40" s="35"/>
      <c r="Z40" s="35"/>
      <c r="AA40" s="34"/>
      <c r="AB40" s="35"/>
      <c r="AC40" s="35"/>
    </row>
    <row r="41" spans="2:29" x14ac:dyDescent="0.25">
      <c r="B41" s="24"/>
      <c r="C41" s="25"/>
      <c r="D41" s="25"/>
      <c r="E41" s="25"/>
      <c r="F41" s="25"/>
      <c r="G41" s="28"/>
      <c r="H41" s="29"/>
      <c r="I41" s="19"/>
      <c r="J41" s="43">
        <f t="shared" si="5"/>
        <v>0</v>
      </c>
      <c r="K41" s="27"/>
      <c r="L41" s="40">
        <f t="shared" si="7"/>
        <v>0</v>
      </c>
      <c r="M41" s="41">
        <f t="shared" si="8"/>
        <v>0</v>
      </c>
      <c r="N41" s="27">
        <v>0</v>
      </c>
      <c r="O41" s="40">
        <f t="shared" si="9"/>
        <v>0</v>
      </c>
      <c r="P41" s="32"/>
      <c r="Q41" s="40">
        <f t="shared" si="6"/>
        <v>0</v>
      </c>
      <c r="R41" s="42">
        <f t="shared" si="10"/>
        <v>0</v>
      </c>
      <c r="S41" s="40">
        <f t="shared" si="11"/>
        <v>0</v>
      </c>
      <c r="T41" s="23">
        <f t="shared" si="4"/>
        <v>0</v>
      </c>
    </row>
    <row r="42" spans="2:29" x14ac:dyDescent="0.25">
      <c r="B42" s="24"/>
      <c r="C42" s="25"/>
      <c r="D42" s="25"/>
      <c r="E42" s="25"/>
      <c r="F42" s="25"/>
      <c r="G42" s="28"/>
      <c r="H42" s="29"/>
      <c r="I42" s="19"/>
      <c r="J42" s="43">
        <f t="shared" si="5"/>
        <v>0</v>
      </c>
      <c r="K42" s="27"/>
      <c r="L42" s="40">
        <f t="shared" si="7"/>
        <v>0</v>
      </c>
      <c r="M42" s="41">
        <f t="shared" si="8"/>
        <v>0</v>
      </c>
      <c r="N42" s="27">
        <v>0</v>
      </c>
      <c r="O42" s="40">
        <f t="shared" si="9"/>
        <v>0</v>
      </c>
      <c r="P42" s="32"/>
      <c r="Q42" s="40">
        <f t="shared" si="6"/>
        <v>0</v>
      </c>
      <c r="R42" s="42">
        <f t="shared" si="10"/>
        <v>0</v>
      </c>
      <c r="S42" s="40">
        <f t="shared" si="11"/>
        <v>0</v>
      </c>
      <c r="T42" s="23">
        <f t="shared" si="4"/>
        <v>0</v>
      </c>
      <c r="Z42" s="35"/>
    </row>
    <row r="43" spans="2:29" x14ac:dyDescent="0.25">
      <c r="B43" s="24"/>
      <c r="C43" s="25"/>
      <c r="D43" s="25"/>
      <c r="E43" s="25"/>
      <c r="F43" s="25"/>
      <c r="G43" s="28"/>
      <c r="H43" s="29"/>
      <c r="I43" s="19"/>
      <c r="J43" s="43">
        <f t="shared" si="5"/>
        <v>0</v>
      </c>
      <c r="K43" s="27"/>
      <c r="L43" s="40">
        <f t="shared" si="7"/>
        <v>0</v>
      </c>
      <c r="M43" s="41">
        <f t="shared" si="8"/>
        <v>0</v>
      </c>
      <c r="N43" s="27">
        <v>0</v>
      </c>
      <c r="O43" s="40">
        <f t="shared" si="9"/>
        <v>0</v>
      </c>
      <c r="P43" s="32"/>
      <c r="Q43" s="40">
        <f t="shared" si="6"/>
        <v>0</v>
      </c>
      <c r="R43" s="42">
        <f t="shared" si="10"/>
        <v>0</v>
      </c>
      <c r="S43" s="40">
        <f t="shared" si="11"/>
        <v>0</v>
      </c>
      <c r="T43" s="23">
        <f t="shared" si="4"/>
        <v>0</v>
      </c>
    </row>
    <row r="44" spans="2:29" x14ac:dyDescent="0.25">
      <c r="B44" s="24"/>
      <c r="C44" s="25"/>
      <c r="D44" s="25"/>
      <c r="E44" s="25"/>
      <c r="F44" s="25"/>
      <c r="G44" s="28"/>
      <c r="H44" s="29"/>
      <c r="I44" s="19"/>
      <c r="J44" s="43">
        <f t="shared" si="5"/>
        <v>0</v>
      </c>
      <c r="K44" s="27"/>
      <c r="L44" s="40">
        <f t="shared" si="7"/>
        <v>0</v>
      </c>
      <c r="M44" s="41">
        <f t="shared" si="8"/>
        <v>0</v>
      </c>
      <c r="N44" s="27">
        <v>0</v>
      </c>
      <c r="O44" s="40">
        <f t="shared" si="9"/>
        <v>0</v>
      </c>
      <c r="P44" s="32"/>
      <c r="Q44" s="40">
        <f t="shared" si="6"/>
        <v>0</v>
      </c>
      <c r="R44" s="42">
        <f t="shared" si="10"/>
        <v>0</v>
      </c>
      <c r="S44" s="40">
        <f t="shared" si="11"/>
        <v>0</v>
      </c>
      <c r="T44" s="23">
        <f t="shared" si="4"/>
        <v>0</v>
      </c>
      <c r="V44" s="34"/>
      <c r="W44" s="35"/>
    </row>
    <row r="45" spans="2:29" x14ac:dyDescent="0.25">
      <c r="B45" s="24"/>
      <c r="C45" s="25"/>
      <c r="D45" s="25"/>
      <c r="E45" s="25"/>
      <c r="F45" s="25"/>
      <c r="G45" s="28"/>
      <c r="H45" s="29"/>
      <c r="I45" s="19"/>
      <c r="J45" s="43">
        <f t="shared" si="5"/>
        <v>0</v>
      </c>
      <c r="K45" s="27"/>
      <c r="L45" s="40">
        <f t="shared" si="7"/>
        <v>0</v>
      </c>
      <c r="M45" s="41">
        <f t="shared" si="8"/>
        <v>0</v>
      </c>
      <c r="N45" s="27">
        <v>0</v>
      </c>
      <c r="O45" s="40">
        <f t="shared" si="9"/>
        <v>0</v>
      </c>
      <c r="P45" s="32"/>
      <c r="Q45" s="40">
        <f t="shared" si="6"/>
        <v>0</v>
      </c>
      <c r="R45" s="42">
        <f t="shared" si="10"/>
        <v>0</v>
      </c>
      <c r="S45" s="40">
        <f t="shared" si="11"/>
        <v>0</v>
      </c>
      <c r="T45" s="23">
        <f t="shared" si="4"/>
        <v>0</v>
      </c>
    </row>
    <row r="46" spans="2:29" x14ac:dyDescent="0.25">
      <c r="B46" s="24"/>
      <c r="C46" s="25"/>
      <c r="D46" s="25"/>
      <c r="E46" s="25"/>
      <c r="F46" s="25"/>
      <c r="G46" s="28"/>
      <c r="H46" s="29"/>
      <c r="I46" s="19"/>
      <c r="J46" s="43">
        <f t="shared" si="5"/>
        <v>0</v>
      </c>
      <c r="K46" s="27"/>
      <c r="L46" s="40">
        <f t="shared" si="7"/>
        <v>0</v>
      </c>
      <c r="M46" s="41">
        <f t="shared" si="8"/>
        <v>0</v>
      </c>
      <c r="N46" s="27">
        <v>0</v>
      </c>
      <c r="O46" s="40">
        <f t="shared" si="9"/>
        <v>0</v>
      </c>
      <c r="P46" s="32"/>
      <c r="Q46" s="40">
        <f t="shared" si="6"/>
        <v>0</v>
      </c>
      <c r="R46" s="42">
        <f t="shared" si="10"/>
        <v>0</v>
      </c>
      <c r="S46" s="40">
        <f t="shared" si="11"/>
        <v>0</v>
      </c>
      <c r="T46" s="23">
        <f t="shared" si="4"/>
        <v>0</v>
      </c>
    </row>
    <row r="47" spans="2:29" x14ac:dyDescent="0.25">
      <c r="B47" s="24"/>
      <c r="C47" s="25"/>
      <c r="D47" s="25"/>
      <c r="E47" s="25"/>
      <c r="F47" s="25"/>
      <c r="G47" s="28"/>
      <c r="H47" s="29"/>
      <c r="I47" s="19"/>
      <c r="J47" s="43">
        <f t="shared" si="5"/>
        <v>0</v>
      </c>
      <c r="K47" s="27"/>
      <c r="L47" s="40">
        <f t="shared" si="7"/>
        <v>0</v>
      </c>
      <c r="M47" s="41">
        <f t="shared" si="8"/>
        <v>0</v>
      </c>
      <c r="N47" s="27">
        <v>0</v>
      </c>
      <c r="O47" s="40">
        <f t="shared" si="9"/>
        <v>0</v>
      </c>
      <c r="P47" s="32"/>
      <c r="Q47" s="40">
        <f t="shared" si="6"/>
        <v>0</v>
      </c>
      <c r="R47" s="42">
        <f t="shared" si="10"/>
        <v>0</v>
      </c>
      <c r="S47" s="40">
        <f t="shared" si="11"/>
        <v>0</v>
      </c>
      <c r="T47" s="23">
        <f t="shared" si="4"/>
        <v>0</v>
      </c>
    </row>
    <row r="48" spans="2:29" x14ac:dyDescent="0.25">
      <c r="B48" s="24"/>
      <c r="C48" s="25"/>
      <c r="D48" s="25"/>
      <c r="E48" s="25"/>
      <c r="F48" s="25"/>
      <c r="G48" s="28"/>
      <c r="H48" s="29"/>
      <c r="I48" s="19"/>
      <c r="J48" s="43">
        <f t="shared" si="5"/>
        <v>0</v>
      </c>
      <c r="K48" s="27"/>
      <c r="L48" s="40">
        <f t="shared" si="7"/>
        <v>0</v>
      </c>
      <c r="M48" s="41">
        <f t="shared" si="8"/>
        <v>0</v>
      </c>
      <c r="N48" s="27">
        <v>0</v>
      </c>
      <c r="O48" s="40">
        <f t="shared" si="9"/>
        <v>0</v>
      </c>
      <c r="P48" s="32"/>
      <c r="Q48" s="40">
        <f t="shared" si="6"/>
        <v>0</v>
      </c>
      <c r="R48" s="42">
        <f t="shared" si="10"/>
        <v>0</v>
      </c>
      <c r="S48" s="40">
        <f t="shared" si="11"/>
        <v>0</v>
      </c>
      <c r="T48" s="23">
        <f t="shared" si="4"/>
        <v>0</v>
      </c>
    </row>
    <row r="49" spans="2:22" x14ac:dyDescent="0.25">
      <c r="B49" s="24"/>
      <c r="C49" s="25"/>
      <c r="D49" s="25"/>
      <c r="E49" s="25"/>
      <c r="F49" s="25"/>
      <c r="G49" s="28"/>
      <c r="H49" s="29"/>
      <c r="I49" s="19"/>
      <c r="J49" s="43">
        <f t="shared" si="5"/>
        <v>0</v>
      </c>
      <c r="K49" s="27"/>
      <c r="L49" s="40">
        <f t="shared" si="7"/>
        <v>0</v>
      </c>
      <c r="M49" s="41">
        <f t="shared" si="8"/>
        <v>0</v>
      </c>
      <c r="N49" s="27">
        <v>0</v>
      </c>
      <c r="O49" s="40">
        <f t="shared" si="9"/>
        <v>0</v>
      </c>
      <c r="P49" s="32"/>
      <c r="Q49" s="40">
        <f t="shared" si="6"/>
        <v>0</v>
      </c>
      <c r="R49" s="42">
        <f t="shared" si="10"/>
        <v>0</v>
      </c>
      <c r="S49" s="40">
        <f t="shared" si="11"/>
        <v>0</v>
      </c>
      <c r="T49" s="23">
        <f t="shared" si="4"/>
        <v>0</v>
      </c>
    </row>
    <row r="50" spans="2:22" x14ac:dyDescent="0.25">
      <c r="B50" s="24"/>
      <c r="C50" s="25"/>
      <c r="D50" s="25"/>
      <c r="E50" s="25"/>
      <c r="F50" s="25"/>
      <c r="G50" s="28"/>
      <c r="H50" s="29"/>
      <c r="I50" s="19"/>
      <c r="J50" s="43">
        <f t="shared" si="5"/>
        <v>0</v>
      </c>
      <c r="K50" s="27"/>
      <c r="L50" s="40">
        <f t="shared" si="7"/>
        <v>0</v>
      </c>
      <c r="M50" s="41">
        <f t="shared" si="8"/>
        <v>0</v>
      </c>
      <c r="N50" s="27">
        <v>0</v>
      </c>
      <c r="O50" s="40">
        <f t="shared" si="9"/>
        <v>0</v>
      </c>
      <c r="P50" s="32"/>
      <c r="Q50" s="40">
        <f t="shared" si="6"/>
        <v>0</v>
      </c>
      <c r="R50" s="42">
        <f t="shared" si="10"/>
        <v>0</v>
      </c>
      <c r="S50" s="40">
        <f t="shared" si="11"/>
        <v>0</v>
      </c>
      <c r="T50" s="23">
        <f t="shared" si="4"/>
        <v>0</v>
      </c>
    </row>
    <row r="51" spans="2:22" x14ac:dyDescent="0.25">
      <c r="B51" s="24"/>
      <c r="C51" s="25"/>
      <c r="D51" s="25"/>
      <c r="E51" s="25"/>
      <c r="F51" s="25"/>
      <c r="G51" s="28"/>
      <c r="H51" s="29"/>
      <c r="I51" s="19"/>
      <c r="J51" s="43">
        <f t="shared" si="5"/>
        <v>0</v>
      </c>
      <c r="K51" s="27"/>
      <c r="L51" s="40">
        <f t="shared" si="7"/>
        <v>0</v>
      </c>
      <c r="M51" s="41">
        <f t="shared" si="8"/>
        <v>0</v>
      </c>
      <c r="N51" s="27">
        <v>0</v>
      </c>
      <c r="O51" s="40">
        <f t="shared" si="9"/>
        <v>0</v>
      </c>
      <c r="P51" s="32"/>
      <c r="Q51" s="40">
        <f t="shared" si="6"/>
        <v>0</v>
      </c>
      <c r="R51" s="42">
        <f t="shared" si="10"/>
        <v>0</v>
      </c>
      <c r="S51" s="40">
        <f t="shared" si="11"/>
        <v>0</v>
      </c>
      <c r="T51" s="23">
        <f t="shared" si="4"/>
        <v>0</v>
      </c>
    </row>
    <row r="52" spans="2:22" x14ac:dyDescent="0.25">
      <c r="B52" s="24"/>
      <c r="C52" s="25"/>
      <c r="D52" s="25"/>
      <c r="E52" s="25"/>
      <c r="F52" s="25"/>
      <c r="G52" s="28"/>
      <c r="H52" s="29"/>
      <c r="I52" s="19"/>
      <c r="J52" s="43">
        <f t="shared" si="5"/>
        <v>0</v>
      </c>
      <c r="K52" s="27"/>
      <c r="L52" s="40">
        <f t="shared" si="7"/>
        <v>0</v>
      </c>
      <c r="M52" s="41">
        <f t="shared" si="8"/>
        <v>0</v>
      </c>
      <c r="N52" s="27">
        <v>0</v>
      </c>
      <c r="O52" s="40">
        <f t="shared" si="9"/>
        <v>0</v>
      </c>
      <c r="P52" s="32"/>
      <c r="Q52" s="40">
        <f t="shared" si="6"/>
        <v>0</v>
      </c>
      <c r="R52" s="42">
        <f t="shared" si="10"/>
        <v>0</v>
      </c>
      <c r="S52" s="40">
        <f t="shared" si="11"/>
        <v>0</v>
      </c>
      <c r="T52" s="23">
        <f t="shared" si="4"/>
        <v>0</v>
      </c>
    </row>
    <row r="53" spans="2:22" x14ac:dyDescent="0.25">
      <c r="B53" s="24"/>
      <c r="C53" s="25"/>
      <c r="D53" s="25"/>
      <c r="E53" s="25"/>
      <c r="F53" s="25"/>
      <c r="G53" s="28"/>
      <c r="H53" s="29"/>
      <c r="I53" s="19"/>
      <c r="J53" s="43">
        <f t="shared" si="5"/>
        <v>0</v>
      </c>
      <c r="K53" s="27"/>
      <c r="L53" s="40">
        <f t="shared" si="7"/>
        <v>0</v>
      </c>
      <c r="M53" s="41">
        <f t="shared" si="8"/>
        <v>0</v>
      </c>
      <c r="N53" s="27">
        <v>0</v>
      </c>
      <c r="O53" s="40">
        <f t="shared" si="9"/>
        <v>0</v>
      </c>
      <c r="P53" s="32"/>
      <c r="Q53" s="40">
        <f t="shared" si="6"/>
        <v>0</v>
      </c>
      <c r="R53" s="42">
        <f t="shared" si="10"/>
        <v>0</v>
      </c>
      <c r="S53" s="40">
        <f t="shared" si="11"/>
        <v>0</v>
      </c>
      <c r="T53" s="23">
        <f t="shared" si="4"/>
        <v>0</v>
      </c>
    </row>
    <row r="54" spans="2:22" x14ac:dyDescent="0.25">
      <c r="B54" s="24"/>
      <c r="C54" s="25"/>
      <c r="D54" s="25"/>
      <c r="E54" s="25"/>
      <c r="F54" s="25"/>
      <c r="G54" s="28"/>
      <c r="H54" s="29"/>
      <c r="I54" s="19"/>
      <c r="J54" s="43">
        <f t="shared" si="5"/>
        <v>0</v>
      </c>
      <c r="K54" s="27"/>
      <c r="L54" s="40">
        <f t="shared" si="7"/>
        <v>0</v>
      </c>
      <c r="M54" s="41">
        <f t="shared" si="8"/>
        <v>0</v>
      </c>
      <c r="N54" s="27">
        <v>0</v>
      </c>
      <c r="O54" s="40">
        <f t="shared" si="9"/>
        <v>0</v>
      </c>
      <c r="P54" s="32"/>
      <c r="Q54" s="40">
        <f t="shared" si="6"/>
        <v>0</v>
      </c>
      <c r="R54" s="42">
        <f t="shared" si="10"/>
        <v>0</v>
      </c>
      <c r="S54" s="40">
        <f t="shared" si="11"/>
        <v>0</v>
      </c>
      <c r="T54" s="23">
        <f t="shared" si="4"/>
        <v>0</v>
      </c>
    </row>
    <row r="55" spans="2:22" x14ac:dyDescent="0.25">
      <c r="B55" s="24"/>
      <c r="C55" s="25"/>
      <c r="D55" s="25"/>
      <c r="E55" s="25"/>
      <c r="F55" s="25"/>
      <c r="G55" s="28"/>
      <c r="H55" s="29"/>
      <c r="I55" s="19"/>
      <c r="J55" s="43">
        <f t="shared" si="5"/>
        <v>0</v>
      </c>
      <c r="K55" s="27"/>
      <c r="L55" s="40">
        <f t="shared" si="7"/>
        <v>0</v>
      </c>
      <c r="M55" s="41">
        <f t="shared" si="8"/>
        <v>0</v>
      </c>
      <c r="N55" s="27">
        <v>0</v>
      </c>
      <c r="O55" s="40">
        <f t="shared" si="9"/>
        <v>0</v>
      </c>
      <c r="P55" s="32"/>
      <c r="Q55" s="40">
        <f t="shared" si="6"/>
        <v>0</v>
      </c>
      <c r="R55" s="42">
        <f t="shared" si="10"/>
        <v>0</v>
      </c>
      <c r="S55" s="40">
        <f t="shared" si="11"/>
        <v>0</v>
      </c>
      <c r="T55" s="23">
        <f t="shared" si="4"/>
        <v>0</v>
      </c>
    </row>
    <row r="56" spans="2:22" x14ac:dyDescent="0.25">
      <c r="B56" s="24"/>
      <c r="C56" s="25"/>
      <c r="D56" s="25"/>
      <c r="E56" s="25"/>
      <c r="F56" s="25"/>
      <c r="G56" s="28"/>
      <c r="H56" s="29"/>
      <c r="I56" s="19"/>
      <c r="J56" s="43">
        <f t="shared" si="5"/>
        <v>0</v>
      </c>
      <c r="K56" s="27"/>
      <c r="L56" s="40">
        <f t="shared" si="7"/>
        <v>0</v>
      </c>
      <c r="M56" s="41">
        <f t="shared" si="8"/>
        <v>0</v>
      </c>
      <c r="N56" s="27">
        <v>0</v>
      </c>
      <c r="O56" s="40">
        <f t="shared" si="9"/>
        <v>0</v>
      </c>
      <c r="P56" s="32"/>
      <c r="Q56" s="40">
        <f t="shared" si="6"/>
        <v>0</v>
      </c>
      <c r="R56" s="42">
        <f t="shared" si="10"/>
        <v>0</v>
      </c>
      <c r="S56" s="40">
        <f t="shared" si="11"/>
        <v>0</v>
      </c>
      <c r="T56" s="23">
        <f t="shared" si="4"/>
        <v>0</v>
      </c>
    </row>
    <row r="57" spans="2:22" x14ac:dyDescent="0.25">
      <c r="B57" s="24"/>
      <c r="C57" s="25"/>
      <c r="D57" s="25"/>
      <c r="E57" s="25"/>
      <c r="F57" s="25"/>
      <c r="G57" s="28"/>
      <c r="H57" s="29"/>
      <c r="I57" s="19"/>
      <c r="J57" s="43">
        <f t="shared" si="5"/>
        <v>0</v>
      </c>
      <c r="K57" s="27"/>
      <c r="L57" s="40">
        <f t="shared" si="7"/>
        <v>0</v>
      </c>
      <c r="M57" s="41">
        <f t="shared" si="8"/>
        <v>0</v>
      </c>
      <c r="N57" s="27">
        <v>0</v>
      </c>
      <c r="O57" s="40">
        <f t="shared" si="9"/>
        <v>0</v>
      </c>
      <c r="P57" s="32"/>
      <c r="Q57" s="40">
        <f t="shared" si="6"/>
        <v>0</v>
      </c>
      <c r="R57" s="42">
        <f t="shared" si="10"/>
        <v>0</v>
      </c>
      <c r="S57" s="40">
        <f t="shared" si="11"/>
        <v>0</v>
      </c>
      <c r="T57" s="23">
        <f t="shared" si="4"/>
        <v>0</v>
      </c>
    </row>
    <row r="58" spans="2:22" x14ac:dyDescent="0.25">
      <c r="B58" s="24"/>
      <c r="C58" s="25"/>
      <c r="D58" s="25"/>
      <c r="E58" s="25"/>
      <c r="F58" s="25"/>
      <c r="G58" s="28"/>
      <c r="H58" s="29"/>
      <c r="I58" s="19"/>
      <c r="J58" s="43">
        <f t="shared" si="5"/>
        <v>0</v>
      </c>
      <c r="K58" s="27"/>
      <c r="L58" s="40">
        <f t="shared" si="7"/>
        <v>0</v>
      </c>
      <c r="M58" s="41">
        <f t="shared" si="8"/>
        <v>0</v>
      </c>
      <c r="N58" s="27">
        <v>0</v>
      </c>
      <c r="O58" s="40">
        <f t="shared" si="9"/>
        <v>0</v>
      </c>
      <c r="P58" s="32"/>
      <c r="Q58" s="40">
        <f t="shared" si="6"/>
        <v>0</v>
      </c>
      <c r="R58" s="42">
        <f t="shared" si="10"/>
        <v>0</v>
      </c>
      <c r="S58" s="40">
        <f t="shared" si="11"/>
        <v>0</v>
      </c>
      <c r="T58" s="23">
        <f t="shared" si="4"/>
        <v>0</v>
      </c>
    </row>
    <row r="59" spans="2:22" x14ac:dyDescent="0.25">
      <c r="B59" s="24"/>
      <c r="C59" s="25"/>
      <c r="D59" s="25"/>
      <c r="E59" s="25"/>
      <c r="F59" s="25"/>
      <c r="G59" s="28"/>
      <c r="H59" s="29"/>
      <c r="I59" s="19"/>
      <c r="J59" s="43">
        <f t="shared" si="5"/>
        <v>0</v>
      </c>
      <c r="K59" s="27"/>
      <c r="L59" s="40">
        <f t="shared" si="7"/>
        <v>0</v>
      </c>
      <c r="M59" s="41">
        <f t="shared" si="8"/>
        <v>0</v>
      </c>
      <c r="N59" s="27">
        <v>0</v>
      </c>
      <c r="O59" s="40">
        <f t="shared" si="9"/>
        <v>0</v>
      </c>
      <c r="P59" s="32"/>
      <c r="Q59" s="40">
        <f t="shared" si="6"/>
        <v>0</v>
      </c>
      <c r="R59" s="42">
        <f t="shared" si="10"/>
        <v>0</v>
      </c>
      <c r="S59" s="40">
        <f t="shared" si="11"/>
        <v>0</v>
      </c>
      <c r="T59" s="23">
        <f t="shared" si="4"/>
        <v>0</v>
      </c>
    </row>
    <row r="60" spans="2:22" x14ac:dyDescent="0.25">
      <c r="B60" s="24"/>
      <c r="C60" s="25"/>
      <c r="D60" s="25"/>
      <c r="E60" s="25"/>
      <c r="F60" s="25"/>
      <c r="G60" s="28"/>
      <c r="H60" s="29"/>
      <c r="I60" s="19"/>
      <c r="J60" s="43">
        <f t="shared" si="5"/>
        <v>0</v>
      </c>
      <c r="K60" s="27"/>
      <c r="L60" s="40">
        <f t="shared" si="7"/>
        <v>0</v>
      </c>
      <c r="M60" s="41">
        <f t="shared" si="8"/>
        <v>0</v>
      </c>
      <c r="N60" s="27">
        <v>0</v>
      </c>
      <c r="O60" s="40">
        <f t="shared" si="9"/>
        <v>0</v>
      </c>
      <c r="P60" s="32"/>
      <c r="Q60" s="40">
        <f t="shared" si="6"/>
        <v>0</v>
      </c>
      <c r="R60" s="42">
        <f t="shared" si="10"/>
        <v>0</v>
      </c>
      <c r="S60" s="40">
        <f t="shared" si="11"/>
        <v>0</v>
      </c>
      <c r="T60" s="23">
        <f t="shared" si="4"/>
        <v>0</v>
      </c>
    </row>
    <row r="61" spans="2:22" x14ac:dyDescent="0.25">
      <c r="B61" s="24"/>
      <c r="C61" s="25"/>
      <c r="D61" s="25"/>
      <c r="E61" s="25"/>
      <c r="F61" s="25"/>
      <c r="G61" s="28"/>
      <c r="H61" s="29"/>
      <c r="I61" s="19"/>
      <c r="J61" s="43">
        <f t="shared" si="5"/>
        <v>0</v>
      </c>
      <c r="K61" s="27"/>
      <c r="L61" s="40">
        <f t="shared" si="7"/>
        <v>0</v>
      </c>
      <c r="M61" s="41">
        <f t="shared" si="8"/>
        <v>0</v>
      </c>
      <c r="N61" s="27">
        <v>0</v>
      </c>
      <c r="O61" s="40">
        <f t="shared" si="9"/>
        <v>0</v>
      </c>
      <c r="P61" s="32"/>
      <c r="Q61" s="40">
        <f t="shared" si="6"/>
        <v>0</v>
      </c>
      <c r="R61" s="42">
        <f t="shared" si="10"/>
        <v>0</v>
      </c>
      <c r="S61" s="40">
        <f t="shared" si="11"/>
        <v>0</v>
      </c>
      <c r="T61" s="23">
        <f t="shared" si="4"/>
        <v>0</v>
      </c>
    </row>
    <row r="62" spans="2:22" x14ac:dyDescent="0.25">
      <c r="B62" s="24"/>
      <c r="C62" s="25"/>
      <c r="D62" s="25"/>
      <c r="E62" s="25"/>
      <c r="F62" s="25"/>
      <c r="G62" s="28"/>
      <c r="H62" s="29"/>
      <c r="I62" s="19"/>
      <c r="J62" s="43">
        <f t="shared" si="5"/>
        <v>0</v>
      </c>
      <c r="K62" s="27"/>
      <c r="L62" s="40">
        <f t="shared" si="7"/>
        <v>0</v>
      </c>
      <c r="M62" s="41">
        <f t="shared" si="8"/>
        <v>0</v>
      </c>
      <c r="N62" s="27">
        <v>0</v>
      </c>
      <c r="O62" s="40">
        <f t="shared" si="9"/>
        <v>0</v>
      </c>
      <c r="P62" s="32"/>
      <c r="Q62" s="40">
        <f t="shared" si="6"/>
        <v>0</v>
      </c>
      <c r="R62" s="42">
        <f t="shared" si="10"/>
        <v>0</v>
      </c>
      <c r="S62" s="40">
        <f t="shared" si="11"/>
        <v>0</v>
      </c>
      <c r="T62" s="23">
        <f t="shared" si="4"/>
        <v>0</v>
      </c>
    </row>
    <row r="63" spans="2:22" x14ac:dyDescent="0.25">
      <c r="B63" s="24"/>
      <c r="C63" s="25"/>
      <c r="D63" s="25"/>
      <c r="E63" s="25"/>
      <c r="F63" s="25"/>
      <c r="G63" s="26"/>
      <c r="H63" s="20"/>
      <c r="I63" s="19"/>
      <c r="J63" s="43">
        <f t="shared" si="5"/>
        <v>0</v>
      </c>
      <c r="K63" s="27"/>
      <c r="L63" s="40">
        <f t="shared" si="7"/>
        <v>0</v>
      </c>
      <c r="M63" s="41">
        <f t="shared" si="8"/>
        <v>0</v>
      </c>
      <c r="N63" s="27">
        <v>0</v>
      </c>
      <c r="O63" s="40">
        <f t="shared" si="9"/>
        <v>0</v>
      </c>
      <c r="P63" s="32"/>
      <c r="Q63" s="40">
        <f t="shared" si="6"/>
        <v>0</v>
      </c>
      <c r="R63" s="42">
        <f t="shared" si="10"/>
        <v>0</v>
      </c>
      <c r="S63" s="40">
        <f t="shared" si="11"/>
        <v>0</v>
      </c>
      <c r="T63" s="23">
        <f t="shared" si="4"/>
        <v>0</v>
      </c>
      <c r="U63" s="37"/>
      <c r="V63" s="105"/>
    </row>
    <row r="64" spans="2:22" x14ac:dyDescent="0.25">
      <c r="B64" s="24"/>
      <c r="C64" s="25"/>
      <c r="D64" s="25"/>
      <c r="E64" s="25"/>
      <c r="F64" s="25"/>
      <c r="G64" s="28"/>
      <c r="H64" s="29"/>
      <c r="I64" s="19"/>
      <c r="J64" s="43">
        <f t="shared" si="5"/>
        <v>0</v>
      </c>
      <c r="K64" s="27"/>
      <c r="L64" s="40">
        <f t="shared" si="7"/>
        <v>0</v>
      </c>
      <c r="M64" s="41">
        <f t="shared" si="8"/>
        <v>0</v>
      </c>
      <c r="N64" s="27">
        <v>0</v>
      </c>
      <c r="O64" s="40">
        <f t="shared" si="9"/>
        <v>0</v>
      </c>
      <c r="P64" s="32"/>
      <c r="Q64" s="40">
        <f t="shared" si="6"/>
        <v>0</v>
      </c>
      <c r="R64" s="42">
        <f t="shared" si="10"/>
        <v>0</v>
      </c>
      <c r="S64" s="40">
        <f t="shared" si="11"/>
        <v>0</v>
      </c>
      <c r="T64" s="23">
        <f t="shared" si="4"/>
        <v>0</v>
      </c>
      <c r="U64" s="37"/>
    </row>
    <row r="65" spans="2:22" x14ac:dyDescent="0.25">
      <c r="B65" s="24"/>
      <c r="C65" s="25"/>
      <c r="D65" s="25"/>
      <c r="E65" s="25"/>
      <c r="F65" s="25"/>
      <c r="G65" s="28"/>
      <c r="H65" s="29"/>
      <c r="I65" s="19"/>
      <c r="J65" s="43">
        <f t="shared" si="5"/>
        <v>0</v>
      </c>
      <c r="K65" s="27"/>
      <c r="L65" s="40">
        <f t="shared" si="7"/>
        <v>0</v>
      </c>
      <c r="M65" s="41">
        <f t="shared" si="8"/>
        <v>0</v>
      </c>
      <c r="N65" s="27">
        <v>0</v>
      </c>
      <c r="O65" s="40">
        <f t="shared" si="9"/>
        <v>0</v>
      </c>
      <c r="P65" s="32"/>
      <c r="Q65" s="40">
        <f t="shared" si="6"/>
        <v>0</v>
      </c>
      <c r="R65" s="42">
        <f t="shared" si="10"/>
        <v>0</v>
      </c>
      <c r="S65" s="40">
        <f t="shared" si="11"/>
        <v>0</v>
      </c>
      <c r="T65" s="23">
        <f t="shared" si="4"/>
        <v>0</v>
      </c>
      <c r="U65" s="37"/>
    </row>
    <row r="66" spans="2:22" x14ac:dyDescent="0.25">
      <c r="B66" s="24"/>
      <c r="C66" s="25"/>
      <c r="D66" s="25"/>
      <c r="E66" s="25"/>
      <c r="F66" s="25"/>
      <c r="G66" s="28"/>
      <c r="H66" s="29"/>
      <c r="I66" s="19"/>
      <c r="J66" s="43">
        <f t="shared" si="5"/>
        <v>0</v>
      </c>
      <c r="K66" s="27"/>
      <c r="L66" s="40">
        <f t="shared" si="7"/>
        <v>0</v>
      </c>
      <c r="M66" s="41">
        <f t="shared" si="8"/>
        <v>0</v>
      </c>
      <c r="N66" s="27">
        <v>0</v>
      </c>
      <c r="O66" s="40">
        <f t="shared" si="9"/>
        <v>0</v>
      </c>
      <c r="P66" s="32"/>
      <c r="Q66" s="40">
        <f t="shared" si="6"/>
        <v>0</v>
      </c>
      <c r="R66" s="42">
        <f t="shared" si="10"/>
        <v>0</v>
      </c>
      <c r="S66" s="40">
        <f t="shared" si="11"/>
        <v>0</v>
      </c>
      <c r="T66" s="23">
        <f t="shared" si="4"/>
        <v>0</v>
      </c>
      <c r="U66" s="37"/>
      <c r="V66" s="106"/>
    </row>
    <row r="67" spans="2:22" x14ac:dyDescent="0.25">
      <c r="B67" s="24"/>
      <c r="C67" s="25"/>
      <c r="D67" s="25"/>
      <c r="E67" s="25"/>
      <c r="F67" s="25"/>
      <c r="G67" s="28"/>
      <c r="H67" s="29"/>
      <c r="I67" s="19"/>
      <c r="J67" s="43">
        <f t="shared" si="5"/>
        <v>0</v>
      </c>
      <c r="K67" s="31"/>
      <c r="L67" s="40">
        <f t="shared" si="7"/>
        <v>0</v>
      </c>
      <c r="M67" s="41">
        <f t="shared" si="8"/>
        <v>0</v>
      </c>
      <c r="N67" s="27">
        <v>0</v>
      </c>
      <c r="O67" s="40">
        <f t="shared" si="9"/>
        <v>0</v>
      </c>
      <c r="P67" s="32"/>
      <c r="Q67" s="40">
        <f t="shared" si="6"/>
        <v>0</v>
      </c>
      <c r="R67" s="42">
        <f t="shared" si="10"/>
        <v>0</v>
      </c>
      <c r="S67" s="40">
        <f t="shared" si="11"/>
        <v>0</v>
      </c>
      <c r="T67" s="23">
        <f t="shared" si="4"/>
        <v>0</v>
      </c>
      <c r="U67" s="37"/>
    </row>
    <row r="68" spans="2:22" x14ac:dyDescent="0.25">
      <c r="B68" s="24"/>
      <c r="C68" s="25"/>
      <c r="D68" s="25"/>
      <c r="E68" s="25"/>
      <c r="F68" s="25"/>
      <c r="G68" s="28"/>
      <c r="H68" s="29"/>
      <c r="I68" s="19"/>
      <c r="J68" s="43">
        <f t="shared" si="5"/>
        <v>0</v>
      </c>
      <c r="K68" s="31"/>
      <c r="L68" s="40">
        <f t="shared" si="7"/>
        <v>0</v>
      </c>
      <c r="M68" s="41">
        <f t="shared" si="8"/>
        <v>0</v>
      </c>
      <c r="N68" s="27">
        <v>0</v>
      </c>
      <c r="O68" s="40">
        <f t="shared" si="9"/>
        <v>0</v>
      </c>
      <c r="P68" s="32"/>
      <c r="Q68" s="40">
        <f t="shared" si="6"/>
        <v>0</v>
      </c>
      <c r="R68" s="42">
        <f t="shared" si="10"/>
        <v>0</v>
      </c>
      <c r="S68" s="40">
        <f t="shared" si="11"/>
        <v>0</v>
      </c>
      <c r="T68" s="23">
        <f t="shared" ref="T68:T105" si="12">R68+S68</f>
        <v>0</v>
      </c>
    </row>
    <row r="69" spans="2:22" x14ac:dyDescent="0.25">
      <c r="B69" s="24"/>
      <c r="C69" s="25"/>
      <c r="D69" s="25"/>
      <c r="E69" s="25"/>
      <c r="F69" s="25"/>
      <c r="G69" s="28"/>
      <c r="H69" s="29"/>
      <c r="I69" s="19"/>
      <c r="J69" s="43">
        <f t="shared" ref="J69:J105" si="13">G69-H69-I69</f>
        <v>0</v>
      </c>
      <c r="K69" s="27"/>
      <c r="L69" s="40">
        <f t="shared" ref="L69:L105" si="14">K69/17</f>
        <v>0</v>
      </c>
      <c r="M69" s="41">
        <f t="shared" ref="M69:M105" si="15">K69*H69</f>
        <v>0</v>
      </c>
      <c r="N69" s="27">
        <v>0</v>
      </c>
      <c r="O69" s="40">
        <f t="shared" ref="O69:O100" si="16">IF(H69="",0,M69-N69)</f>
        <v>0</v>
      </c>
      <c r="P69" s="32"/>
      <c r="Q69" s="40">
        <f t="shared" ref="Q69:Q105" si="17">O69*P69</f>
        <v>0</v>
      </c>
      <c r="R69" s="42">
        <f t="shared" ref="R69:R100" si="18">IF(J69=0,O69-Q69,0)</f>
        <v>0</v>
      </c>
      <c r="S69" s="40">
        <f t="shared" ref="S69:S105" si="19">IF(J69=0,0,(J69*K69)-N69-(J69*K69-N69)*P69)</f>
        <v>0</v>
      </c>
      <c r="T69" s="23">
        <f t="shared" si="12"/>
        <v>0</v>
      </c>
    </row>
    <row r="70" spans="2:22" x14ac:dyDescent="0.25">
      <c r="B70" s="24"/>
      <c r="C70" s="25"/>
      <c r="D70" s="25"/>
      <c r="E70" s="25"/>
      <c r="F70" s="25"/>
      <c r="G70" s="28"/>
      <c r="H70" s="29"/>
      <c r="I70" s="19"/>
      <c r="J70" s="43">
        <f t="shared" si="13"/>
        <v>0</v>
      </c>
      <c r="K70" s="31"/>
      <c r="L70" s="40">
        <f t="shared" si="14"/>
        <v>0</v>
      </c>
      <c r="M70" s="41">
        <f t="shared" si="15"/>
        <v>0</v>
      </c>
      <c r="N70" s="27">
        <v>0</v>
      </c>
      <c r="O70" s="40">
        <f t="shared" si="16"/>
        <v>0</v>
      </c>
      <c r="P70" s="32"/>
      <c r="Q70" s="40">
        <f t="shared" si="17"/>
        <v>0</v>
      </c>
      <c r="R70" s="42">
        <f t="shared" si="18"/>
        <v>0</v>
      </c>
      <c r="S70" s="40">
        <f t="shared" si="19"/>
        <v>0</v>
      </c>
      <c r="T70" s="23">
        <f t="shared" si="12"/>
        <v>0</v>
      </c>
    </row>
    <row r="71" spans="2:22" x14ac:dyDescent="0.25">
      <c r="B71" s="24"/>
      <c r="C71" s="25"/>
      <c r="D71" s="25"/>
      <c r="E71" s="25"/>
      <c r="F71" s="25"/>
      <c r="G71" s="28"/>
      <c r="H71" s="29"/>
      <c r="I71" s="19"/>
      <c r="J71" s="43">
        <f t="shared" si="13"/>
        <v>0</v>
      </c>
      <c r="K71" s="27"/>
      <c r="L71" s="40">
        <f t="shared" si="14"/>
        <v>0</v>
      </c>
      <c r="M71" s="41">
        <f t="shared" si="15"/>
        <v>0</v>
      </c>
      <c r="N71" s="27">
        <v>0</v>
      </c>
      <c r="O71" s="40">
        <f t="shared" si="16"/>
        <v>0</v>
      </c>
      <c r="P71" s="32"/>
      <c r="Q71" s="40">
        <f t="shared" si="17"/>
        <v>0</v>
      </c>
      <c r="R71" s="42">
        <f t="shared" si="18"/>
        <v>0</v>
      </c>
      <c r="S71" s="40">
        <f t="shared" si="19"/>
        <v>0</v>
      </c>
      <c r="T71" s="23">
        <f t="shared" si="12"/>
        <v>0</v>
      </c>
    </row>
    <row r="72" spans="2:22" x14ac:dyDescent="0.25">
      <c r="B72" s="24"/>
      <c r="C72" s="25"/>
      <c r="D72" s="25"/>
      <c r="E72" s="25"/>
      <c r="F72" s="25"/>
      <c r="G72" s="28"/>
      <c r="H72" s="29"/>
      <c r="I72" s="19"/>
      <c r="J72" s="43">
        <f t="shared" si="13"/>
        <v>0</v>
      </c>
      <c r="K72" s="27"/>
      <c r="L72" s="40">
        <f t="shared" si="14"/>
        <v>0</v>
      </c>
      <c r="M72" s="41">
        <f t="shared" si="15"/>
        <v>0</v>
      </c>
      <c r="N72" s="27">
        <v>0</v>
      </c>
      <c r="O72" s="40">
        <f t="shared" si="16"/>
        <v>0</v>
      </c>
      <c r="P72" s="32"/>
      <c r="Q72" s="40">
        <f t="shared" si="17"/>
        <v>0</v>
      </c>
      <c r="R72" s="42">
        <f t="shared" si="18"/>
        <v>0</v>
      </c>
      <c r="S72" s="40">
        <f t="shared" si="19"/>
        <v>0</v>
      </c>
      <c r="T72" s="23">
        <f t="shared" si="12"/>
        <v>0</v>
      </c>
    </row>
    <row r="73" spans="2:22" x14ac:dyDescent="0.25">
      <c r="B73" s="24"/>
      <c r="C73" s="25"/>
      <c r="D73" s="25"/>
      <c r="E73" s="25"/>
      <c r="F73" s="25"/>
      <c r="G73" s="28"/>
      <c r="H73" s="29"/>
      <c r="I73" s="19"/>
      <c r="J73" s="43">
        <f t="shared" si="13"/>
        <v>0</v>
      </c>
      <c r="K73" s="31"/>
      <c r="L73" s="40">
        <f t="shared" si="14"/>
        <v>0</v>
      </c>
      <c r="M73" s="41">
        <f t="shared" si="15"/>
        <v>0</v>
      </c>
      <c r="N73" s="27">
        <v>0</v>
      </c>
      <c r="O73" s="40">
        <f t="shared" si="16"/>
        <v>0</v>
      </c>
      <c r="P73" s="32"/>
      <c r="Q73" s="40">
        <f t="shared" si="17"/>
        <v>0</v>
      </c>
      <c r="R73" s="42">
        <f t="shared" si="18"/>
        <v>0</v>
      </c>
      <c r="S73" s="40">
        <f t="shared" si="19"/>
        <v>0</v>
      </c>
      <c r="T73" s="23">
        <f t="shared" si="12"/>
        <v>0</v>
      </c>
    </row>
    <row r="74" spans="2:22" x14ac:dyDescent="0.25">
      <c r="B74" s="24"/>
      <c r="C74" s="25"/>
      <c r="D74" s="25"/>
      <c r="E74" s="25"/>
      <c r="F74" s="25"/>
      <c r="G74" s="28"/>
      <c r="H74" s="29"/>
      <c r="I74" s="19"/>
      <c r="J74" s="43">
        <f t="shared" si="13"/>
        <v>0</v>
      </c>
      <c r="K74" s="31"/>
      <c r="L74" s="40">
        <f t="shared" si="14"/>
        <v>0</v>
      </c>
      <c r="M74" s="41">
        <f t="shared" si="15"/>
        <v>0</v>
      </c>
      <c r="N74" s="27">
        <v>0</v>
      </c>
      <c r="O74" s="40">
        <f t="shared" si="16"/>
        <v>0</v>
      </c>
      <c r="P74" s="32"/>
      <c r="Q74" s="40">
        <f t="shared" si="17"/>
        <v>0</v>
      </c>
      <c r="R74" s="42">
        <f t="shared" si="18"/>
        <v>0</v>
      </c>
      <c r="S74" s="40">
        <f t="shared" si="19"/>
        <v>0</v>
      </c>
      <c r="T74" s="23">
        <f t="shared" si="12"/>
        <v>0</v>
      </c>
    </row>
    <row r="75" spans="2:22" x14ac:dyDescent="0.25">
      <c r="B75" s="24"/>
      <c r="C75" s="25"/>
      <c r="D75" s="25"/>
      <c r="E75" s="25"/>
      <c r="F75" s="25"/>
      <c r="G75" s="28"/>
      <c r="H75" s="29"/>
      <c r="I75" s="19"/>
      <c r="J75" s="43">
        <f t="shared" si="13"/>
        <v>0</v>
      </c>
      <c r="K75" s="31"/>
      <c r="L75" s="40">
        <f t="shared" si="14"/>
        <v>0</v>
      </c>
      <c r="M75" s="41">
        <f t="shared" si="15"/>
        <v>0</v>
      </c>
      <c r="N75" s="27">
        <v>0</v>
      </c>
      <c r="O75" s="40">
        <f t="shared" si="16"/>
        <v>0</v>
      </c>
      <c r="P75" s="32"/>
      <c r="Q75" s="40">
        <f t="shared" si="17"/>
        <v>0</v>
      </c>
      <c r="R75" s="42">
        <f t="shared" si="18"/>
        <v>0</v>
      </c>
      <c r="S75" s="40">
        <f t="shared" si="19"/>
        <v>0</v>
      </c>
      <c r="T75" s="23">
        <f t="shared" si="12"/>
        <v>0</v>
      </c>
    </row>
    <row r="76" spans="2:22" x14ac:dyDescent="0.25">
      <c r="B76" s="24"/>
      <c r="C76" s="25"/>
      <c r="D76" s="25"/>
      <c r="E76" s="25"/>
      <c r="F76" s="25"/>
      <c r="G76" s="28"/>
      <c r="H76" s="29"/>
      <c r="I76" s="19"/>
      <c r="J76" s="43">
        <f t="shared" si="13"/>
        <v>0</v>
      </c>
      <c r="K76" s="27"/>
      <c r="L76" s="40">
        <f t="shared" si="14"/>
        <v>0</v>
      </c>
      <c r="M76" s="41">
        <f t="shared" si="15"/>
        <v>0</v>
      </c>
      <c r="N76" s="27">
        <v>0</v>
      </c>
      <c r="O76" s="40">
        <f t="shared" si="16"/>
        <v>0</v>
      </c>
      <c r="P76" s="32"/>
      <c r="Q76" s="40">
        <f t="shared" si="17"/>
        <v>0</v>
      </c>
      <c r="R76" s="42">
        <f t="shared" si="18"/>
        <v>0</v>
      </c>
      <c r="S76" s="40">
        <f t="shared" si="19"/>
        <v>0</v>
      </c>
      <c r="T76" s="23">
        <f t="shared" si="12"/>
        <v>0</v>
      </c>
    </row>
    <row r="77" spans="2:22" x14ac:dyDescent="0.25">
      <c r="B77" s="24"/>
      <c r="C77" s="25"/>
      <c r="D77" s="25"/>
      <c r="E77" s="25"/>
      <c r="F77" s="25"/>
      <c r="G77" s="28"/>
      <c r="H77" s="29"/>
      <c r="I77" s="19"/>
      <c r="J77" s="43">
        <f t="shared" si="13"/>
        <v>0</v>
      </c>
      <c r="K77" s="27"/>
      <c r="L77" s="40">
        <f t="shared" si="14"/>
        <v>0</v>
      </c>
      <c r="M77" s="41">
        <f t="shared" si="15"/>
        <v>0</v>
      </c>
      <c r="N77" s="27">
        <v>0</v>
      </c>
      <c r="O77" s="40">
        <f t="shared" si="16"/>
        <v>0</v>
      </c>
      <c r="P77" s="32"/>
      <c r="Q77" s="40">
        <f t="shared" si="17"/>
        <v>0</v>
      </c>
      <c r="R77" s="42">
        <f t="shared" si="18"/>
        <v>0</v>
      </c>
      <c r="S77" s="40">
        <f t="shared" si="19"/>
        <v>0</v>
      </c>
      <c r="T77" s="23">
        <f t="shared" si="12"/>
        <v>0</v>
      </c>
    </row>
    <row r="78" spans="2:22" x14ac:dyDescent="0.25">
      <c r="B78" s="24"/>
      <c r="C78" s="25"/>
      <c r="D78" s="25"/>
      <c r="E78" s="25"/>
      <c r="F78" s="25"/>
      <c r="G78" s="28"/>
      <c r="H78" s="29"/>
      <c r="I78" s="19"/>
      <c r="J78" s="43">
        <f t="shared" si="13"/>
        <v>0</v>
      </c>
      <c r="K78" s="27"/>
      <c r="L78" s="40">
        <f t="shared" si="14"/>
        <v>0</v>
      </c>
      <c r="M78" s="41">
        <f t="shared" si="15"/>
        <v>0</v>
      </c>
      <c r="N78" s="27">
        <v>0</v>
      </c>
      <c r="O78" s="40">
        <f t="shared" si="16"/>
        <v>0</v>
      </c>
      <c r="P78" s="32"/>
      <c r="Q78" s="40">
        <f t="shared" si="17"/>
        <v>0</v>
      </c>
      <c r="R78" s="42">
        <f t="shared" si="18"/>
        <v>0</v>
      </c>
      <c r="S78" s="40">
        <f t="shared" si="19"/>
        <v>0</v>
      </c>
      <c r="T78" s="23">
        <f t="shared" si="12"/>
        <v>0</v>
      </c>
    </row>
    <row r="79" spans="2:22" x14ac:dyDescent="0.25">
      <c r="B79" s="24"/>
      <c r="C79" s="25"/>
      <c r="D79" s="25"/>
      <c r="E79" s="25"/>
      <c r="F79" s="25"/>
      <c r="G79" s="28"/>
      <c r="H79" s="29"/>
      <c r="I79" s="19"/>
      <c r="J79" s="43">
        <f t="shared" si="13"/>
        <v>0</v>
      </c>
      <c r="K79" s="27"/>
      <c r="L79" s="40">
        <f t="shared" si="14"/>
        <v>0</v>
      </c>
      <c r="M79" s="41">
        <f t="shared" si="15"/>
        <v>0</v>
      </c>
      <c r="N79" s="27">
        <v>0</v>
      </c>
      <c r="O79" s="40">
        <f t="shared" si="16"/>
        <v>0</v>
      </c>
      <c r="P79" s="32"/>
      <c r="Q79" s="40">
        <f t="shared" si="17"/>
        <v>0</v>
      </c>
      <c r="R79" s="42">
        <f t="shared" si="18"/>
        <v>0</v>
      </c>
      <c r="S79" s="40">
        <f t="shared" si="19"/>
        <v>0</v>
      </c>
      <c r="T79" s="23">
        <f t="shared" si="12"/>
        <v>0</v>
      </c>
    </row>
    <row r="80" spans="2:22" x14ac:dyDescent="0.25">
      <c r="B80" s="24"/>
      <c r="C80" s="25"/>
      <c r="D80" s="25"/>
      <c r="E80" s="25"/>
      <c r="F80" s="25"/>
      <c r="G80" s="28"/>
      <c r="H80" s="29"/>
      <c r="I80" s="19"/>
      <c r="J80" s="43">
        <f t="shared" si="13"/>
        <v>0</v>
      </c>
      <c r="K80" s="27"/>
      <c r="L80" s="40">
        <f t="shared" si="14"/>
        <v>0</v>
      </c>
      <c r="M80" s="41">
        <f t="shared" si="15"/>
        <v>0</v>
      </c>
      <c r="N80" s="27">
        <v>0</v>
      </c>
      <c r="O80" s="40">
        <f t="shared" si="16"/>
        <v>0</v>
      </c>
      <c r="P80" s="32"/>
      <c r="Q80" s="40">
        <f t="shared" si="17"/>
        <v>0</v>
      </c>
      <c r="R80" s="42">
        <f t="shared" si="18"/>
        <v>0</v>
      </c>
      <c r="S80" s="40">
        <f t="shared" si="19"/>
        <v>0</v>
      </c>
      <c r="T80" s="23">
        <f t="shared" si="12"/>
        <v>0</v>
      </c>
    </row>
    <row r="81" spans="1:21" x14ac:dyDescent="0.25">
      <c r="B81" s="24"/>
      <c r="C81" s="25"/>
      <c r="D81" s="25"/>
      <c r="E81" s="25"/>
      <c r="F81" s="25"/>
      <c r="G81" s="28"/>
      <c r="H81" s="29"/>
      <c r="I81" s="19"/>
      <c r="J81" s="43">
        <f t="shared" si="13"/>
        <v>0</v>
      </c>
      <c r="K81" s="27"/>
      <c r="L81" s="40">
        <f t="shared" si="14"/>
        <v>0</v>
      </c>
      <c r="M81" s="41">
        <f t="shared" si="15"/>
        <v>0</v>
      </c>
      <c r="N81" s="27">
        <v>0</v>
      </c>
      <c r="O81" s="40">
        <f t="shared" si="16"/>
        <v>0</v>
      </c>
      <c r="P81" s="32"/>
      <c r="Q81" s="40">
        <f t="shared" si="17"/>
        <v>0</v>
      </c>
      <c r="R81" s="42">
        <f t="shared" si="18"/>
        <v>0</v>
      </c>
      <c r="S81" s="40">
        <f t="shared" si="19"/>
        <v>0</v>
      </c>
      <c r="T81" s="23">
        <f t="shared" si="12"/>
        <v>0</v>
      </c>
    </row>
    <row r="82" spans="1:21" x14ac:dyDescent="0.25">
      <c r="B82" s="24"/>
      <c r="C82" s="25"/>
      <c r="D82" s="25"/>
      <c r="E82" s="25"/>
      <c r="F82" s="25"/>
      <c r="G82" s="28"/>
      <c r="H82" s="29"/>
      <c r="I82" s="19"/>
      <c r="J82" s="43">
        <f t="shared" si="13"/>
        <v>0</v>
      </c>
      <c r="K82" s="27"/>
      <c r="L82" s="40">
        <f t="shared" si="14"/>
        <v>0</v>
      </c>
      <c r="M82" s="41">
        <f t="shared" si="15"/>
        <v>0</v>
      </c>
      <c r="N82" s="27">
        <v>0</v>
      </c>
      <c r="O82" s="40">
        <f t="shared" si="16"/>
        <v>0</v>
      </c>
      <c r="P82" s="32"/>
      <c r="Q82" s="40">
        <f t="shared" si="17"/>
        <v>0</v>
      </c>
      <c r="R82" s="42">
        <f t="shared" si="18"/>
        <v>0</v>
      </c>
      <c r="S82" s="40">
        <f t="shared" si="19"/>
        <v>0</v>
      </c>
      <c r="T82" s="23">
        <f t="shared" si="12"/>
        <v>0</v>
      </c>
    </row>
    <row r="83" spans="1:21" x14ac:dyDescent="0.25">
      <c r="B83" s="24"/>
      <c r="C83" s="25"/>
      <c r="D83" s="25"/>
      <c r="E83" s="25"/>
      <c r="F83" s="25"/>
      <c r="G83" s="28"/>
      <c r="H83" s="29"/>
      <c r="I83" s="19"/>
      <c r="J83" s="43">
        <f t="shared" si="13"/>
        <v>0</v>
      </c>
      <c r="K83" s="27"/>
      <c r="L83" s="40">
        <f t="shared" si="14"/>
        <v>0</v>
      </c>
      <c r="M83" s="41">
        <f t="shared" si="15"/>
        <v>0</v>
      </c>
      <c r="N83" s="27">
        <v>0</v>
      </c>
      <c r="O83" s="40">
        <f t="shared" si="16"/>
        <v>0</v>
      </c>
      <c r="P83" s="32"/>
      <c r="Q83" s="40">
        <f t="shared" si="17"/>
        <v>0</v>
      </c>
      <c r="R83" s="42">
        <f t="shared" si="18"/>
        <v>0</v>
      </c>
      <c r="S83" s="40">
        <f t="shared" si="19"/>
        <v>0</v>
      </c>
      <c r="T83" s="23">
        <f t="shared" si="12"/>
        <v>0</v>
      </c>
    </row>
    <row r="84" spans="1:21" x14ac:dyDescent="0.25">
      <c r="B84" s="24"/>
      <c r="C84" s="25"/>
      <c r="D84" s="25"/>
      <c r="E84" s="25"/>
      <c r="F84" s="25"/>
      <c r="G84" s="28"/>
      <c r="H84" s="29"/>
      <c r="I84" s="19"/>
      <c r="J84" s="43">
        <f t="shared" si="13"/>
        <v>0</v>
      </c>
      <c r="K84" s="27"/>
      <c r="L84" s="40">
        <f t="shared" si="14"/>
        <v>0</v>
      </c>
      <c r="M84" s="41">
        <f t="shared" si="15"/>
        <v>0</v>
      </c>
      <c r="N84" s="27">
        <v>0</v>
      </c>
      <c r="O84" s="40">
        <f t="shared" si="16"/>
        <v>0</v>
      </c>
      <c r="P84" s="32"/>
      <c r="Q84" s="40">
        <f t="shared" si="17"/>
        <v>0</v>
      </c>
      <c r="R84" s="42">
        <f t="shared" si="18"/>
        <v>0</v>
      </c>
      <c r="S84" s="40">
        <f t="shared" si="19"/>
        <v>0</v>
      </c>
      <c r="T84" s="23">
        <f t="shared" si="12"/>
        <v>0</v>
      </c>
    </row>
    <row r="85" spans="1:21" x14ac:dyDescent="0.25">
      <c r="A85" s="36">
        <v>46057</v>
      </c>
      <c r="B85" s="24"/>
      <c r="C85" s="25"/>
      <c r="D85" s="25"/>
      <c r="E85" s="25"/>
      <c r="F85" s="25"/>
      <c r="G85" s="28"/>
      <c r="H85" s="29"/>
      <c r="I85" s="19"/>
      <c r="J85" s="43">
        <f t="shared" si="13"/>
        <v>0</v>
      </c>
      <c r="K85" s="31"/>
      <c r="L85" s="40">
        <f t="shared" si="14"/>
        <v>0</v>
      </c>
      <c r="M85" s="41">
        <f t="shared" si="15"/>
        <v>0</v>
      </c>
      <c r="N85" s="27">
        <v>0</v>
      </c>
      <c r="O85" s="40">
        <f t="shared" si="16"/>
        <v>0</v>
      </c>
      <c r="P85" s="32"/>
      <c r="Q85" s="40">
        <f t="shared" si="17"/>
        <v>0</v>
      </c>
      <c r="R85" s="42">
        <f t="shared" si="18"/>
        <v>0</v>
      </c>
      <c r="S85" s="40">
        <f t="shared" si="19"/>
        <v>0</v>
      </c>
      <c r="T85" s="23">
        <f t="shared" si="12"/>
        <v>0</v>
      </c>
    </row>
    <row r="86" spans="1:21" x14ac:dyDescent="0.25">
      <c r="B86" s="24"/>
      <c r="C86" s="25"/>
      <c r="D86" s="25"/>
      <c r="E86" s="25"/>
      <c r="F86" s="25"/>
      <c r="G86" s="28"/>
      <c r="H86" s="29"/>
      <c r="I86" s="19"/>
      <c r="J86" s="43">
        <f t="shared" si="13"/>
        <v>0</v>
      </c>
      <c r="K86" s="31"/>
      <c r="L86" s="40">
        <f t="shared" si="14"/>
        <v>0</v>
      </c>
      <c r="M86" s="41">
        <f t="shared" si="15"/>
        <v>0</v>
      </c>
      <c r="N86" s="27">
        <v>0</v>
      </c>
      <c r="O86" s="40">
        <f t="shared" si="16"/>
        <v>0</v>
      </c>
      <c r="P86" s="32"/>
      <c r="Q86" s="40">
        <f t="shared" si="17"/>
        <v>0</v>
      </c>
      <c r="R86" s="42">
        <f t="shared" si="18"/>
        <v>0</v>
      </c>
      <c r="S86" s="40">
        <f t="shared" si="19"/>
        <v>0</v>
      </c>
      <c r="T86" s="23">
        <f t="shared" si="12"/>
        <v>0</v>
      </c>
    </row>
    <row r="87" spans="1:21" x14ac:dyDescent="0.25">
      <c r="B87" s="24"/>
      <c r="C87" s="25"/>
      <c r="D87" s="25"/>
      <c r="E87" s="25"/>
      <c r="F87" s="25"/>
      <c r="G87" s="28"/>
      <c r="H87" s="29"/>
      <c r="I87" s="19"/>
      <c r="J87" s="43">
        <f t="shared" si="13"/>
        <v>0</v>
      </c>
      <c r="K87" s="31"/>
      <c r="L87" s="40">
        <f t="shared" si="14"/>
        <v>0</v>
      </c>
      <c r="M87" s="41">
        <f t="shared" si="15"/>
        <v>0</v>
      </c>
      <c r="N87" s="27">
        <v>0</v>
      </c>
      <c r="O87" s="40">
        <f t="shared" si="16"/>
        <v>0</v>
      </c>
      <c r="P87" s="32"/>
      <c r="Q87" s="40">
        <f t="shared" si="17"/>
        <v>0</v>
      </c>
      <c r="R87" s="42">
        <f t="shared" si="18"/>
        <v>0</v>
      </c>
      <c r="S87" s="40">
        <f t="shared" si="19"/>
        <v>0</v>
      </c>
      <c r="T87" s="23">
        <f t="shared" si="12"/>
        <v>0</v>
      </c>
    </row>
    <row r="88" spans="1:21" x14ac:dyDescent="0.25">
      <c r="B88" s="24"/>
      <c r="C88" s="25"/>
      <c r="D88" s="25"/>
      <c r="E88" s="25"/>
      <c r="F88" s="25"/>
      <c r="G88" s="28"/>
      <c r="H88" s="29"/>
      <c r="I88" s="19"/>
      <c r="J88" s="43">
        <f t="shared" si="13"/>
        <v>0</v>
      </c>
      <c r="K88" s="31"/>
      <c r="L88" s="40">
        <f t="shared" si="14"/>
        <v>0</v>
      </c>
      <c r="M88" s="41">
        <f t="shared" si="15"/>
        <v>0</v>
      </c>
      <c r="N88" s="27">
        <v>0</v>
      </c>
      <c r="O88" s="40">
        <f t="shared" si="16"/>
        <v>0</v>
      </c>
      <c r="P88" s="32"/>
      <c r="Q88" s="40">
        <f t="shared" si="17"/>
        <v>0</v>
      </c>
      <c r="R88" s="42">
        <f t="shared" si="18"/>
        <v>0</v>
      </c>
      <c r="S88" s="40">
        <f t="shared" si="19"/>
        <v>0</v>
      </c>
      <c r="T88" s="23">
        <f t="shared" si="12"/>
        <v>0</v>
      </c>
    </row>
    <row r="89" spans="1:21" x14ac:dyDescent="0.25">
      <c r="B89" s="24"/>
      <c r="C89" s="25"/>
      <c r="D89" s="25"/>
      <c r="E89" s="25"/>
      <c r="F89" s="25"/>
      <c r="G89" s="28"/>
      <c r="H89" s="29"/>
      <c r="I89" s="19"/>
      <c r="J89" s="43">
        <f t="shared" si="13"/>
        <v>0</v>
      </c>
      <c r="K89" s="31"/>
      <c r="L89" s="40">
        <f t="shared" si="14"/>
        <v>0</v>
      </c>
      <c r="M89" s="41">
        <f t="shared" si="15"/>
        <v>0</v>
      </c>
      <c r="N89" s="27">
        <v>0</v>
      </c>
      <c r="O89" s="40">
        <f t="shared" si="16"/>
        <v>0</v>
      </c>
      <c r="P89" s="32"/>
      <c r="Q89" s="40">
        <f t="shared" si="17"/>
        <v>0</v>
      </c>
      <c r="R89" s="42">
        <f t="shared" si="18"/>
        <v>0</v>
      </c>
      <c r="S89" s="40">
        <f t="shared" si="19"/>
        <v>0</v>
      </c>
      <c r="T89" s="23">
        <f t="shared" si="12"/>
        <v>0</v>
      </c>
    </row>
    <row r="90" spans="1:21" x14ac:dyDescent="0.25">
      <c r="B90" s="24"/>
      <c r="C90" s="25"/>
      <c r="D90" s="25"/>
      <c r="E90" s="25"/>
      <c r="F90" s="25"/>
      <c r="G90" s="28"/>
      <c r="H90" s="29"/>
      <c r="I90" s="19"/>
      <c r="J90" s="43">
        <f t="shared" si="13"/>
        <v>0</v>
      </c>
      <c r="K90" s="31"/>
      <c r="L90" s="40">
        <f t="shared" si="14"/>
        <v>0</v>
      </c>
      <c r="M90" s="41">
        <f t="shared" si="15"/>
        <v>0</v>
      </c>
      <c r="N90" s="27">
        <v>0</v>
      </c>
      <c r="O90" s="40">
        <f t="shared" si="16"/>
        <v>0</v>
      </c>
      <c r="P90" s="32"/>
      <c r="Q90" s="40">
        <f t="shared" si="17"/>
        <v>0</v>
      </c>
      <c r="R90" s="42">
        <f t="shared" si="18"/>
        <v>0</v>
      </c>
      <c r="S90" s="40">
        <f t="shared" si="19"/>
        <v>0</v>
      </c>
      <c r="T90" s="23">
        <f t="shared" si="12"/>
        <v>0</v>
      </c>
    </row>
    <row r="91" spans="1:21" x14ac:dyDescent="0.25">
      <c r="B91" s="24"/>
      <c r="C91" s="25"/>
      <c r="D91" s="25"/>
      <c r="E91" s="25"/>
      <c r="F91" s="25"/>
      <c r="G91" s="28"/>
      <c r="H91" s="29"/>
      <c r="I91" s="19"/>
      <c r="J91" s="43">
        <f t="shared" si="13"/>
        <v>0</v>
      </c>
      <c r="K91" s="27"/>
      <c r="L91" s="40">
        <f t="shared" si="14"/>
        <v>0</v>
      </c>
      <c r="M91" s="41">
        <f t="shared" si="15"/>
        <v>0</v>
      </c>
      <c r="N91" s="27">
        <v>0</v>
      </c>
      <c r="O91" s="40">
        <f t="shared" si="16"/>
        <v>0</v>
      </c>
      <c r="P91" s="32"/>
      <c r="Q91" s="40">
        <f t="shared" si="17"/>
        <v>0</v>
      </c>
      <c r="R91" s="42">
        <f t="shared" si="18"/>
        <v>0</v>
      </c>
      <c r="S91" s="40">
        <f t="shared" si="19"/>
        <v>0</v>
      </c>
      <c r="T91" s="23">
        <f t="shared" si="12"/>
        <v>0</v>
      </c>
    </row>
    <row r="92" spans="1:21" x14ac:dyDescent="0.25">
      <c r="B92" s="24"/>
      <c r="C92" s="25"/>
      <c r="D92" s="25"/>
      <c r="E92" s="25"/>
      <c r="F92" s="25"/>
      <c r="G92" s="28"/>
      <c r="H92" s="29"/>
      <c r="I92" s="19"/>
      <c r="J92" s="43">
        <f t="shared" si="13"/>
        <v>0</v>
      </c>
      <c r="K92" s="31"/>
      <c r="L92" s="40">
        <f t="shared" si="14"/>
        <v>0</v>
      </c>
      <c r="M92" s="41">
        <f t="shared" si="15"/>
        <v>0</v>
      </c>
      <c r="N92" s="27">
        <v>0</v>
      </c>
      <c r="O92" s="40">
        <f t="shared" si="16"/>
        <v>0</v>
      </c>
      <c r="P92" s="32"/>
      <c r="Q92" s="40">
        <f t="shared" si="17"/>
        <v>0</v>
      </c>
      <c r="R92" s="42">
        <f t="shared" si="18"/>
        <v>0</v>
      </c>
      <c r="S92" s="40">
        <f t="shared" si="19"/>
        <v>0</v>
      </c>
      <c r="T92" s="23">
        <f t="shared" si="12"/>
        <v>0</v>
      </c>
    </row>
    <row r="93" spans="1:21" x14ac:dyDescent="0.25">
      <c r="B93" s="24"/>
      <c r="C93" s="25"/>
      <c r="D93" s="25"/>
      <c r="E93" s="25"/>
      <c r="F93" s="25"/>
      <c r="G93" s="28"/>
      <c r="H93" s="29"/>
      <c r="I93" s="19"/>
      <c r="J93" s="43">
        <f t="shared" si="13"/>
        <v>0</v>
      </c>
      <c r="K93" s="31"/>
      <c r="L93" s="40">
        <f t="shared" si="14"/>
        <v>0</v>
      </c>
      <c r="M93" s="41">
        <f t="shared" si="15"/>
        <v>0</v>
      </c>
      <c r="N93" s="27">
        <v>0</v>
      </c>
      <c r="O93" s="40">
        <f t="shared" si="16"/>
        <v>0</v>
      </c>
      <c r="P93" s="32"/>
      <c r="Q93" s="40">
        <f t="shared" si="17"/>
        <v>0</v>
      </c>
      <c r="R93" s="42">
        <f t="shared" si="18"/>
        <v>0</v>
      </c>
      <c r="S93" s="40">
        <f t="shared" si="19"/>
        <v>0</v>
      </c>
      <c r="T93" s="23">
        <f t="shared" si="12"/>
        <v>0</v>
      </c>
    </row>
    <row r="94" spans="1:21" s="2" customFormat="1" x14ac:dyDescent="0.25">
      <c r="B94" s="24"/>
      <c r="C94" s="25"/>
      <c r="D94" s="25"/>
      <c r="E94" s="25"/>
      <c r="F94" s="25"/>
      <c r="G94" s="28"/>
      <c r="H94" s="29"/>
      <c r="I94" s="19"/>
      <c r="J94" s="43">
        <f t="shared" si="13"/>
        <v>0</v>
      </c>
      <c r="K94" s="31"/>
      <c r="L94" s="40">
        <f t="shared" si="14"/>
        <v>0</v>
      </c>
      <c r="M94" s="41">
        <f t="shared" si="15"/>
        <v>0</v>
      </c>
      <c r="N94" s="27">
        <v>0</v>
      </c>
      <c r="O94" s="40">
        <f t="shared" si="16"/>
        <v>0</v>
      </c>
      <c r="P94" s="32"/>
      <c r="Q94" s="40">
        <f t="shared" si="17"/>
        <v>0</v>
      </c>
      <c r="R94" s="42">
        <f t="shared" si="18"/>
        <v>0</v>
      </c>
      <c r="S94" s="40">
        <f t="shared" si="19"/>
        <v>0</v>
      </c>
      <c r="T94" s="23">
        <f t="shared" si="12"/>
        <v>0</v>
      </c>
      <c r="U94" s="11"/>
    </row>
    <row r="95" spans="1:21" x14ac:dyDescent="0.25">
      <c r="B95" s="24"/>
      <c r="C95" s="25"/>
      <c r="D95" s="25"/>
      <c r="E95" s="25"/>
      <c r="F95" s="25"/>
      <c r="G95" s="28"/>
      <c r="H95" s="29"/>
      <c r="I95" s="19"/>
      <c r="J95" s="43">
        <f t="shared" si="13"/>
        <v>0</v>
      </c>
      <c r="K95" s="31"/>
      <c r="L95" s="40">
        <f t="shared" si="14"/>
        <v>0</v>
      </c>
      <c r="M95" s="41">
        <f t="shared" si="15"/>
        <v>0</v>
      </c>
      <c r="N95" s="27">
        <v>0</v>
      </c>
      <c r="O95" s="40">
        <f t="shared" si="16"/>
        <v>0</v>
      </c>
      <c r="P95" s="32"/>
      <c r="Q95" s="40">
        <f t="shared" si="17"/>
        <v>0</v>
      </c>
      <c r="R95" s="42">
        <f t="shared" si="18"/>
        <v>0</v>
      </c>
      <c r="S95" s="40">
        <f t="shared" si="19"/>
        <v>0</v>
      </c>
      <c r="T95" s="23">
        <f t="shared" si="12"/>
        <v>0</v>
      </c>
    </row>
    <row r="96" spans="1:21" x14ac:dyDescent="0.25">
      <c r="B96" s="24"/>
      <c r="C96" s="25"/>
      <c r="D96" s="25"/>
      <c r="E96" s="25"/>
      <c r="F96" s="25"/>
      <c r="G96" s="28"/>
      <c r="H96" s="29"/>
      <c r="I96" s="19"/>
      <c r="J96" s="43">
        <f t="shared" si="13"/>
        <v>0</v>
      </c>
      <c r="K96" s="31"/>
      <c r="L96" s="40">
        <f t="shared" si="14"/>
        <v>0</v>
      </c>
      <c r="M96" s="41">
        <f t="shared" si="15"/>
        <v>0</v>
      </c>
      <c r="N96" s="27">
        <v>0</v>
      </c>
      <c r="O96" s="40">
        <f t="shared" si="16"/>
        <v>0</v>
      </c>
      <c r="P96" s="32"/>
      <c r="Q96" s="40">
        <f t="shared" si="17"/>
        <v>0</v>
      </c>
      <c r="R96" s="42">
        <f t="shared" si="18"/>
        <v>0</v>
      </c>
      <c r="S96" s="40">
        <f t="shared" si="19"/>
        <v>0</v>
      </c>
      <c r="T96" s="23">
        <f t="shared" si="12"/>
        <v>0</v>
      </c>
    </row>
    <row r="97" spans="2:20" x14ac:dyDescent="0.25">
      <c r="B97" s="24"/>
      <c r="C97" s="25"/>
      <c r="D97" s="25"/>
      <c r="E97" s="25"/>
      <c r="F97" s="25"/>
      <c r="G97" s="28"/>
      <c r="H97" s="29"/>
      <c r="I97" s="19"/>
      <c r="J97" s="43">
        <f t="shared" si="13"/>
        <v>0</v>
      </c>
      <c r="K97" s="31"/>
      <c r="L97" s="40">
        <f t="shared" si="14"/>
        <v>0</v>
      </c>
      <c r="M97" s="41">
        <f t="shared" si="15"/>
        <v>0</v>
      </c>
      <c r="N97" s="27">
        <v>0</v>
      </c>
      <c r="O97" s="40">
        <f t="shared" si="16"/>
        <v>0</v>
      </c>
      <c r="P97" s="32"/>
      <c r="Q97" s="40">
        <f t="shared" si="17"/>
        <v>0</v>
      </c>
      <c r="R97" s="42">
        <f t="shared" si="18"/>
        <v>0</v>
      </c>
      <c r="S97" s="40">
        <f t="shared" si="19"/>
        <v>0</v>
      </c>
      <c r="T97" s="23">
        <f t="shared" si="12"/>
        <v>0</v>
      </c>
    </row>
    <row r="98" spans="2:20" x14ac:dyDescent="0.25">
      <c r="B98" s="24"/>
      <c r="C98" s="25"/>
      <c r="D98" s="25"/>
      <c r="E98" s="25"/>
      <c r="F98" s="25"/>
      <c r="G98" s="28"/>
      <c r="H98" s="29"/>
      <c r="I98" s="19"/>
      <c r="J98" s="43">
        <f t="shared" si="13"/>
        <v>0</v>
      </c>
      <c r="K98" s="31"/>
      <c r="L98" s="40">
        <f t="shared" si="14"/>
        <v>0</v>
      </c>
      <c r="M98" s="41">
        <f t="shared" si="15"/>
        <v>0</v>
      </c>
      <c r="N98" s="27">
        <v>0</v>
      </c>
      <c r="O98" s="40">
        <f t="shared" si="16"/>
        <v>0</v>
      </c>
      <c r="P98" s="32"/>
      <c r="Q98" s="40">
        <f t="shared" si="17"/>
        <v>0</v>
      </c>
      <c r="R98" s="42">
        <f t="shared" si="18"/>
        <v>0</v>
      </c>
      <c r="S98" s="40">
        <f t="shared" si="19"/>
        <v>0</v>
      </c>
      <c r="T98" s="23">
        <f t="shared" si="12"/>
        <v>0</v>
      </c>
    </row>
    <row r="99" spans="2:20" x14ac:dyDescent="0.25">
      <c r="B99" s="24"/>
      <c r="C99" s="25"/>
      <c r="D99" s="25"/>
      <c r="E99" s="25"/>
      <c r="F99" s="25"/>
      <c r="G99" s="28"/>
      <c r="H99" s="29"/>
      <c r="I99" s="19"/>
      <c r="J99" s="43">
        <f t="shared" si="13"/>
        <v>0</v>
      </c>
      <c r="K99" s="31"/>
      <c r="L99" s="40">
        <f t="shared" si="14"/>
        <v>0</v>
      </c>
      <c r="M99" s="41">
        <f t="shared" si="15"/>
        <v>0</v>
      </c>
      <c r="N99" s="27">
        <v>0</v>
      </c>
      <c r="O99" s="40">
        <f t="shared" si="16"/>
        <v>0</v>
      </c>
      <c r="P99" s="32"/>
      <c r="Q99" s="40">
        <f t="shared" si="17"/>
        <v>0</v>
      </c>
      <c r="R99" s="42">
        <f t="shared" si="18"/>
        <v>0</v>
      </c>
      <c r="S99" s="40">
        <f t="shared" si="19"/>
        <v>0</v>
      </c>
      <c r="T99" s="23">
        <f t="shared" si="12"/>
        <v>0</v>
      </c>
    </row>
    <row r="100" spans="2:20" x14ac:dyDescent="0.25">
      <c r="B100" s="24"/>
      <c r="C100" s="25"/>
      <c r="D100" s="25"/>
      <c r="E100" s="25"/>
      <c r="F100" s="25"/>
      <c r="G100" s="28"/>
      <c r="H100" s="29"/>
      <c r="I100" s="19"/>
      <c r="J100" s="43">
        <f t="shared" si="13"/>
        <v>0</v>
      </c>
      <c r="K100" s="31"/>
      <c r="L100" s="40">
        <f t="shared" si="14"/>
        <v>0</v>
      </c>
      <c r="M100" s="41">
        <f t="shared" si="15"/>
        <v>0</v>
      </c>
      <c r="N100" s="27">
        <v>0</v>
      </c>
      <c r="O100" s="40">
        <f t="shared" si="16"/>
        <v>0</v>
      </c>
      <c r="P100" s="32"/>
      <c r="Q100" s="40">
        <f t="shared" si="17"/>
        <v>0</v>
      </c>
      <c r="R100" s="42">
        <f t="shared" si="18"/>
        <v>0</v>
      </c>
      <c r="S100" s="40">
        <f t="shared" si="19"/>
        <v>0</v>
      </c>
      <c r="T100" s="23">
        <f t="shared" si="12"/>
        <v>0</v>
      </c>
    </row>
    <row r="101" spans="2:20" x14ac:dyDescent="0.25">
      <c r="B101" s="24"/>
      <c r="C101" s="25"/>
      <c r="D101" s="25"/>
      <c r="E101" s="25"/>
      <c r="F101" s="25"/>
      <c r="G101" s="28"/>
      <c r="H101" s="29"/>
      <c r="I101" s="19"/>
      <c r="J101" s="43">
        <f t="shared" si="13"/>
        <v>0</v>
      </c>
      <c r="K101" s="31"/>
      <c r="L101" s="40">
        <f t="shared" si="14"/>
        <v>0</v>
      </c>
      <c r="M101" s="41">
        <f t="shared" si="15"/>
        <v>0</v>
      </c>
      <c r="N101" s="27">
        <v>0</v>
      </c>
      <c r="O101" s="40">
        <f t="shared" ref="O101:O105" si="20">IF(H101="",0,M101-N101)</f>
        <v>0</v>
      </c>
      <c r="P101" s="32"/>
      <c r="Q101" s="40">
        <f t="shared" si="17"/>
        <v>0</v>
      </c>
      <c r="R101" s="42">
        <f t="shared" ref="R101:R105" si="21">IF(J101=0,O101-Q101,0)</f>
        <v>0</v>
      </c>
      <c r="S101" s="40">
        <f t="shared" si="19"/>
        <v>0</v>
      </c>
      <c r="T101" s="23">
        <f t="shared" si="12"/>
        <v>0</v>
      </c>
    </row>
    <row r="102" spans="2:20" x14ac:dyDescent="0.25">
      <c r="B102" s="24"/>
      <c r="C102" s="25"/>
      <c r="D102" s="25"/>
      <c r="E102" s="25"/>
      <c r="F102" s="25"/>
      <c r="G102" s="28"/>
      <c r="H102" s="29"/>
      <c r="I102" s="19"/>
      <c r="J102" s="43">
        <f t="shared" si="13"/>
        <v>0</v>
      </c>
      <c r="K102" s="31"/>
      <c r="L102" s="40">
        <f t="shared" si="14"/>
        <v>0</v>
      </c>
      <c r="M102" s="41">
        <f t="shared" si="15"/>
        <v>0</v>
      </c>
      <c r="N102" s="27">
        <v>0</v>
      </c>
      <c r="O102" s="40">
        <f t="shared" si="20"/>
        <v>0</v>
      </c>
      <c r="P102" s="32"/>
      <c r="Q102" s="40">
        <f t="shared" si="17"/>
        <v>0</v>
      </c>
      <c r="R102" s="42">
        <f t="shared" si="21"/>
        <v>0</v>
      </c>
      <c r="S102" s="40">
        <f t="shared" si="19"/>
        <v>0</v>
      </c>
      <c r="T102" s="23">
        <f t="shared" si="12"/>
        <v>0</v>
      </c>
    </row>
    <row r="103" spans="2:20" x14ac:dyDescent="0.25">
      <c r="B103" s="24"/>
      <c r="C103" s="25"/>
      <c r="D103" s="25"/>
      <c r="E103" s="25"/>
      <c r="F103" s="25"/>
      <c r="G103" s="28"/>
      <c r="H103" s="29"/>
      <c r="I103" s="19"/>
      <c r="J103" s="43">
        <f t="shared" si="13"/>
        <v>0</v>
      </c>
      <c r="K103" s="27"/>
      <c r="L103" s="40">
        <f t="shared" si="14"/>
        <v>0</v>
      </c>
      <c r="M103" s="41">
        <f t="shared" si="15"/>
        <v>0</v>
      </c>
      <c r="N103" s="27">
        <v>0</v>
      </c>
      <c r="O103" s="40">
        <f t="shared" si="20"/>
        <v>0</v>
      </c>
      <c r="P103" s="32"/>
      <c r="Q103" s="40">
        <f t="shared" si="17"/>
        <v>0</v>
      </c>
      <c r="R103" s="42">
        <f t="shared" si="21"/>
        <v>0</v>
      </c>
      <c r="S103" s="40">
        <f t="shared" si="19"/>
        <v>0</v>
      </c>
      <c r="T103" s="23">
        <f t="shared" si="12"/>
        <v>0</v>
      </c>
    </row>
    <row r="104" spans="2:20" x14ac:dyDescent="0.25">
      <c r="B104" s="24"/>
      <c r="C104" s="25"/>
      <c r="D104" s="25"/>
      <c r="E104" s="25"/>
      <c r="F104" s="25"/>
      <c r="G104" s="28"/>
      <c r="H104" s="29"/>
      <c r="I104" s="19"/>
      <c r="J104" s="43">
        <f t="shared" si="13"/>
        <v>0</v>
      </c>
      <c r="K104" s="31"/>
      <c r="L104" s="40">
        <f t="shared" si="14"/>
        <v>0</v>
      </c>
      <c r="M104" s="41">
        <f t="shared" si="15"/>
        <v>0</v>
      </c>
      <c r="N104" s="27">
        <v>0</v>
      </c>
      <c r="O104" s="40">
        <f t="shared" si="20"/>
        <v>0</v>
      </c>
      <c r="P104" s="32"/>
      <c r="Q104" s="40">
        <f t="shared" si="17"/>
        <v>0</v>
      </c>
      <c r="R104" s="42">
        <f t="shared" si="21"/>
        <v>0</v>
      </c>
      <c r="S104" s="40">
        <f t="shared" si="19"/>
        <v>0</v>
      </c>
      <c r="T104" s="23">
        <f t="shared" si="12"/>
        <v>0</v>
      </c>
    </row>
    <row r="105" spans="2:20" x14ac:dyDescent="0.25">
      <c r="B105" s="25"/>
      <c r="C105" s="25"/>
      <c r="D105" s="25"/>
      <c r="E105" s="25"/>
      <c r="F105" s="25"/>
      <c r="G105" s="28"/>
      <c r="H105" s="29"/>
      <c r="I105" s="19"/>
      <c r="J105" s="43">
        <f t="shared" si="13"/>
        <v>0</v>
      </c>
      <c r="K105" s="31"/>
      <c r="L105" s="40">
        <f t="shared" si="14"/>
        <v>0</v>
      </c>
      <c r="M105" s="41">
        <f t="shared" si="15"/>
        <v>0</v>
      </c>
      <c r="N105" s="27">
        <v>0</v>
      </c>
      <c r="O105" s="40">
        <f t="shared" si="20"/>
        <v>0</v>
      </c>
      <c r="P105" s="27"/>
      <c r="Q105" s="40">
        <f t="shared" si="17"/>
        <v>0</v>
      </c>
      <c r="R105" s="42">
        <f t="shared" si="21"/>
        <v>0</v>
      </c>
      <c r="S105" s="40">
        <f t="shared" si="19"/>
        <v>0</v>
      </c>
      <c r="T105" s="23">
        <f t="shared" si="12"/>
        <v>0</v>
      </c>
    </row>
  </sheetData>
  <conditionalFormatting sqref="R4:R105">
    <cfRule type="expression" dxfId="0" priority="1">
      <formula>IF($J4&gt;0,TRUE,FALSE)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DF8A7-7A30-473E-8FAB-92CB0FE83A84}">
  <dimension ref="B1:P106"/>
  <sheetViews>
    <sheetView topLeftCell="A19" zoomScale="80" zoomScaleNormal="80" workbookViewId="0">
      <selection activeCell="C32" sqref="C32"/>
    </sheetView>
  </sheetViews>
  <sheetFormatPr baseColWidth="10" defaultColWidth="11.42578125" defaultRowHeight="15" x14ac:dyDescent="0.25"/>
  <cols>
    <col min="1" max="1" width="2.85546875" style="47" customWidth="1"/>
    <col min="2" max="3" width="11.42578125" style="47"/>
    <col min="4" max="4" width="14.140625" style="47" customWidth="1"/>
    <col min="5" max="5" width="17.7109375" style="47" customWidth="1"/>
    <col min="6" max="6" width="9.5703125" style="1" bestFit="1" customWidth="1"/>
    <col min="7" max="7" width="11.42578125" style="48"/>
    <col min="8" max="8" width="15.5703125" style="48" bestFit="1" customWidth="1"/>
    <col min="9" max="9" width="24.7109375" style="48" bestFit="1" customWidth="1"/>
    <col min="10" max="11" width="16" style="47" bestFit="1" customWidth="1"/>
    <col min="12" max="12" width="15.42578125" style="47" customWidth="1"/>
    <col min="13" max="13" width="2.5703125" style="47" customWidth="1"/>
    <col min="14" max="14" width="21.5703125" style="47" customWidth="1"/>
    <col min="15" max="15" width="16" style="47" bestFit="1" customWidth="1"/>
    <col min="16" max="16" width="13.7109375" style="47" customWidth="1"/>
    <col min="17" max="17" width="8.28515625" style="47" customWidth="1"/>
    <col min="18" max="16384" width="11.42578125" style="47"/>
  </cols>
  <sheetData>
    <row r="1" spans="2:16" ht="16.5" thickBot="1" x14ac:dyDescent="0.3">
      <c r="B1" s="46" t="s">
        <v>35</v>
      </c>
      <c r="I1" s="139">
        <f>I2/(F2*17)</f>
        <v>10.55028957586768</v>
      </c>
      <c r="J1" s="140" t="s">
        <v>36</v>
      </c>
    </row>
    <row r="2" spans="2:16" ht="16.5" thickBot="1" x14ac:dyDescent="0.3">
      <c r="C2" s="49" t="s">
        <v>17</v>
      </c>
      <c r="F2" s="50">
        <f>SUM(F4:F391)</f>
        <v>5893</v>
      </c>
      <c r="G2" s="51">
        <f>I2/F2</f>
        <v>179.35492278975056</v>
      </c>
      <c r="H2" s="52">
        <f>SUM(H4:H391)</f>
        <v>4400</v>
      </c>
      <c r="I2" s="53">
        <f>SUM(I4:I391)</f>
        <v>1056938.56</v>
      </c>
      <c r="J2" s="54">
        <f>O39</f>
        <v>731832</v>
      </c>
      <c r="K2" s="55">
        <f>O45</f>
        <v>325106.56000000006</v>
      </c>
      <c r="L2" s="56" t="s">
        <v>37</v>
      </c>
      <c r="O2" s="46" t="s">
        <v>38</v>
      </c>
    </row>
    <row r="3" spans="2:16" ht="15.75" thickBot="1" x14ac:dyDescent="0.3">
      <c r="B3" s="57" t="s">
        <v>1</v>
      </c>
      <c r="C3" s="58" t="s">
        <v>2</v>
      </c>
      <c r="D3" s="59" t="s">
        <v>39</v>
      </c>
      <c r="E3" s="59" t="s">
        <v>4</v>
      </c>
      <c r="F3" s="60" t="s">
        <v>40</v>
      </c>
      <c r="G3" s="61" t="s">
        <v>10</v>
      </c>
      <c r="H3" s="62" t="s">
        <v>13</v>
      </c>
      <c r="I3" s="63" t="s">
        <v>41</v>
      </c>
      <c r="J3" s="64" t="s">
        <v>42</v>
      </c>
      <c r="K3" s="65">
        <v>0</v>
      </c>
      <c r="L3" s="56" t="s">
        <v>43</v>
      </c>
      <c r="N3" s="66" t="s">
        <v>1</v>
      </c>
      <c r="O3" s="67" t="s">
        <v>41</v>
      </c>
    </row>
    <row r="4" spans="2:16" ht="15.75" thickBot="1" x14ac:dyDescent="0.3">
      <c r="B4" s="107">
        <f>Tomatillo!B4</f>
        <v>46128</v>
      </c>
      <c r="C4" s="108">
        <f>Tomatillo!C4</f>
        <v>1</v>
      </c>
      <c r="D4" s="108" t="s">
        <v>44</v>
      </c>
      <c r="E4" s="108" t="str">
        <f>Tomatillo!E4</f>
        <v>Carlos Perez</v>
      </c>
      <c r="F4" s="109">
        <f>Tomatillo!G4</f>
        <v>50</v>
      </c>
      <c r="G4" s="110">
        <f>Tomatillo!K4</f>
        <v>306</v>
      </c>
      <c r="H4" s="110">
        <f>Tomatillo!N4</f>
        <v>0</v>
      </c>
      <c r="I4" s="111">
        <f t="shared" ref="I4:I10" si="0">F4*G4-H4</f>
        <v>15300</v>
      </c>
      <c r="J4" s="112" t="s">
        <v>45</v>
      </c>
      <c r="K4" s="68">
        <f>[1]VENTAS!R2</f>
        <v>691969.5</v>
      </c>
      <c r="L4" s="56" t="s">
        <v>46</v>
      </c>
      <c r="N4" s="69">
        <v>46128</v>
      </c>
      <c r="O4" s="70">
        <v>36720</v>
      </c>
    </row>
    <row r="5" spans="2:16" ht="15.75" thickBot="1" x14ac:dyDescent="0.3">
      <c r="B5" s="107">
        <f>Tomatillo!B5</f>
        <v>46128</v>
      </c>
      <c r="C5" s="108">
        <f>Tomatillo!C5</f>
        <v>2</v>
      </c>
      <c r="D5" s="113" t="s">
        <v>47</v>
      </c>
      <c r="E5" s="108" t="str">
        <f>Tomatillo!E5</f>
        <v>Carlos Perez</v>
      </c>
      <c r="F5" s="109">
        <f>Tomatillo!G5</f>
        <v>10</v>
      </c>
      <c r="G5" s="110">
        <f>Tomatillo!K5</f>
        <v>306</v>
      </c>
      <c r="H5" s="110">
        <f>Tomatillo!N5</f>
        <v>0</v>
      </c>
      <c r="I5" s="111">
        <f t="shared" si="0"/>
        <v>3060</v>
      </c>
      <c r="J5" s="114" t="s">
        <v>45</v>
      </c>
      <c r="N5" s="71">
        <v>46129</v>
      </c>
      <c r="O5" s="72">
        <v>78948</v>
      </c>
      <c r="P5" s="141"/>
    </row>
    <row r="6" spans="2:16" ht="15.75" thickBot="1" x14ac:dyDescent="0.3">
      <c r="B6" s="107">
        <f>Tomatillo!B6</f>
        <v>46128</v>
      </c>
      <c r="C6" s="108">
        <f>Tomatillo!C6</f>
        <v>3</v>
      </c>
      <c r="D6" s="113" t="s">
        <v>48</v>
      </c>
      <c r="E6" s="108" t="str">
        <f>Tomatillo!E6</f>
        <v>Mayojoa</v>
      </c>
      <c r="F6" s="109">
        <f>Tomatillo!G6</f>
        <v>20</v>
      </c>
      <c r="G6" s="110">
        <f>Tomatillo!K6</f>
        <v>306</v>
      </c>
      <c r="H6" s="110">
        <f>Tomatillo!N6</f>
        <v>0</v>
      </c>
      <c r="I6" s="111">
        <f t="shared" si="0"/>
        <v>6120</v>
      </c>
      <c r="J6" s="114" t="s">
        <v>45</v>
      </c>
      <c r="N6" s="71">
        <v>46133</v>
      </c>
      <c r="O6" s="72">
        <v>40086</v>
      </c>
    </row>
    <row r="7" spans="2:16" ht="15.75" thickBot="1" x14ac:dyDescent="0.3">
      <c r="B7" s="107">
        <f>Tomatillo!B7</f>
        <v>46128</v>
      </c>
      <c r="C7" s="108">
        <f>Tomatillo!C7</f>
        <v>4</v>
      </c>
      <c r="D7" s="113" t="s">
        <v>49</v>
      </c>
      <c r="E7" s="108" t="str">
        <f>Tomatillo!E7</f>
        <v>Luis Carlos Cejudo</v>
      </c>
      <c r="F7" s="109">
        <f>Tomatillo!G7</f>
        <v>48</v>
      </c>
      <c r="G7" s="110">
        <f>Tomatillo!K7</f>
        <v>255</v>
      </c>
      <c r="H7" s="110">
        <f>Tomatillo!N7</f>
        <v>0</v>
      </c>
      <c r="I7" s="111">
        <f t="shared" si="0"/>
        <v>12240</v>
      </c>
      <c r="J7" s="114" t="s">
        <v>45</v>
      </c>
      <c r="K7" s="73">
        <f>95764/(434*17)</f>
        <v>12.979669287069667</v>
      </c>
      <c r="N7" s="71">
        <v>46135</v>
      </c>
      <c r="O7" s="72">
        <v>123114</v>
      </c>
    </row>
    <row r="8" spans="2:16" ht="15.75" thickBot="1" x14ac:dyDescent="0.3">
      <c r="B8" s="107">
        <f>Tomatillo!B8</f>
        <v>46128</v>
      </c>
      <c r="C8" s="108">
        <f>Tomatillo!C8</f>
        <v>5</v>
      </c>
      <c r="D8" s="113" t="s">
        <v>50</v>
      </c>
      <c r="E8" s="108" t="str">
        <f>Tomatillo!E8</f>
        <v>Bodega Lizarraga</v>
      </c>
      <c r="F8" s="109">
        <f>Tomatillo!G8</f>
        <v>384</v>
      </c>
      <c r="G8" s="110">
        <f>Tomatillo!K8</f>
        <v>289</v>
      </c>
      <c r="H8" s="110">
        <f>Tomatillo!N8</f>
        <v>0</v>
      </c>
      <c r="I8" s="111">
        <f>F8*G8-H8</f>
        <v>110976</v>
      </c>
      <c r="J8" s="114" t="s">
        <v>45</v>
      </c>
      <c r="K8" s="73"/>
      <c r="N8" s="71">
        <v>46136</v>
      </c>
      <c r="O8" s="72">
        <v>100000</v>
      </c>
    </row>
    <row r="9" spans="2:16" ht="15.75" thickBot="1" x14ac:dyDescent="0.3">
      <c r="B9" s="107">
        <f>Tomatillo!B9</f>
        <v>46129</v>
      </c>
      <c r="C9" s="108">
        <f>Tomatillo!C9</f>
        <v>7</v>
      </c>
      <c r="D9" s="113" t="s">
        <v>51</v>
      </c>
      <c r="E9" s="108" t="str">
        <f>Tomatillo!E9</f>
        <v>Mayojoa</v>
      </c>
      <c r="F9" s="109">
        <f>Tomatillo!G9</f>
        <v>50</v>
      </c>
      <c r="G9" s="110">
        <f>Tomatillo!K9</f>
        <v>306</v>
      </c>
      <c r="H9" s="115">
        <v>0</v>
      </c>
      <c r="I9" s="111">
        <f t="shared" si="0"/>
        <v>15300</v>
      </c>
      <c r="J9" s="114" t="s">
        <v>45</v>
      </c>
      <c r="K9" s="73">
        <f t="shared" ref="K9:K15" si="1">G9/17</f>
        <v>18</v>
      </c>
      <c r="N9" s="71">
        <v>46136</v>
      </c>
      <c r="O9" s="72">
        <v>100000</v>
      </c>
    </row>
    <row r="10" spans="2:16" ht="15.75" thickBot="1" x14ac:dyDescent="0.3">
      <c r="B10" s="107">
        <f>Tomatillo!B10</f>
        <v>46129</v>
      </c>
      <c r="C10" s="108">
        <f>Tomatillo!C10</f>
        <v>9</v>
      </c>
      <c r="D10" s="113" t="s">
        <v>52</v>
      </c>
      <c r="E10" s="108" t="str">
        <f>Tomatillo!E10</f>
        <v>Porfirio Casarez</v>
      </c>
      <c r="F10" s="109">
        <f>Tomatillo!G10</f>
        <v>288</v>
      </c>
      <c r="G10" s="110">
        <f>Tomatillo!K10</f>
        <v>221</v>
      </c>
      <c r="H10" s="115">
        <v>0</v>
      </c>
      <c r="I10" s="111">
        <f t="shared" si="0"/>
        <v>63648</v>
      </c>
      <c r="J10" s="114" t="s">
        <v>45</v>
      </c>
      <c r="K10" s="73">
        <f t="shared" si="1"/>
        <v>13</v>
      </c>
      <c r="N10" s="71">
        <v>46136</v>
      </c>
      <c r="O10" s="72">
        <v>5530</v>
      </c>
    </row>
    <row r="11" spans="2:16" ht="15.75" thickBot="1" x14ac:dyDescent="0.3">
      <c r="B11" s="116">
        <f>Tomatillo!B11</f>
        <v>46129</v>
      </c>
      <c r="C11" s="81">
        <f>Tomatillo!C11</f>
        <v>10</v>
      </c>
      <c r="D11" s="85" t="s">
        <v>53</v>
      </c>
      <c r="E11" s="81" t="str">
        <f>Tomatillo!E11</f>
        <v>Jorge Luis Zazueta</v>
      </c>
      <c r="F11" s="82">
        <f>Tomatillo!G11</f>
        <v>96</v>
      </c>
      <c r="G11" s="83">
        <f>Tomatillo!K11</f>
        <v>221</v>
      </c>
      <c r="H11" s="75">
        <f>Tomatillo!N11</f>
        <v>4400</v>
      </c>
      <c r="I11" s="84">
        <f>F11*G11-H11</f>
        <v>16816</v>
      </c>
      <c r="J11" s="104" t="s">
        <v>54</v>
      </c>
      <c r="K11" s="73">
        <f t="shared" si="1"/>
        <v>13</v>
      </c>
      <c r="L11" s="79">
        <f>H11/(F11*17)</f>
        <v>2.6960784313725492</v>
      </c>
      <c r="N11" s="71">
        <v>46140</v>
      </c>
      <c r="O11" s="72">
        <v>6120</v>
      </c>
    </row>
    <row r="12" spans="2:16" ht="15.75" thickBot="1" x14ac:dyDescent="0.3">
      <c r="B12" s="107">
        <f>Tomatillo!B12</f>
        <v>46130</v>
      </c>
      <c r="C12" s="108">
        <f>Tomatillo!C12</f>
        <v>11</v>
      </c>
      <c r="D12" s="113" t="s">
        <v>55</v>
      </c>
      <c r="E12" s="108" t="str">
        <f>Tomatillo!E12</f>
        <v>Carlos Perez</v>
      </c>
      <c r="F12" s="109">
        <f>Tomatillo!G12</f>
        <v>147</v>
      </c>
      <c r="G12" s="110">
        <f>Tomatillo!K12</f>
        <v>238</v>
      </c>
      <c r="H12" s="115">
        <f>Tomatillo!N12</f>
        <v>0</v>
      </c>
      <c r="I12" s="111">
        <f t="shared" ref="I12" si="2">F12*G12-H12</f>
        <v>34986</v>
      </c>
      <c r="J12" s="114" t="s">
        <v>45</v>
      </c>
      <c r="K12" s="73">
        <f t="shared" si="1"/>
        <v>14</v>
      </c>
      <c r="N12" s="71">
        <v>46142</v>
      </c>
      <c r="O12" s="72">
        <v>110976</v>
      </c>
    </row>
    <row r="13" spans="2:16" ht="15.75" thickBot="1" x14ac:dyDescent="0.3">
      <c r="B13" s="107">
        <f>Tomatillo!B13</f>
        <v>46130</v>
      </c>
      <c r="C13" s="108">
        <f>Tomatillo!C13</f>
        <v>12</v>
      </c>
      <c r="D13" s="113" t="s">
        <v>56</v>
      </c>
      <c r="E13" s="108" t="str">
        <f>Tomatillo!E13</f>
        <v>Ziracua</v>
      </c>
      <c r="F13" s="109">
        <f>Tomatillo!G13</f>
        <v>150</v>
      </c>
      <c r="G13" s="110">
        <f>Tomatillo!K13</f>
        <v>289</v>
      </c>
      <c r="H13" s="115">
        <f>Tomatillo!N13</f>
        <v>0</v>
      </c>
      <c r="I13" s="111">
        <f>F13*G13-H13</f>
        <v>43350</v>
      </c>
      <c r="J13" s="114" t="s">
        <v>45</v>
      </c>
      <c r="K13" s="73">
        <f t="shared" si="1"/>
        <v>17</v>
      </c>
      <c r="N13" s="71">
        <v>46150</v>
      </c>
      <c r="O13" s="72">
        <v>7021</v>
      </c>
    </row>
    <row r="14" spans="2:16" ht="15.75" thickBot="1" x14ac:dyDescent="0.3">
      <c r="B14" s="107">
        <f>Tomatillo!B14</f>
        <v>46132</v>
      </c>
      <c r="C14" s="108">
        <f>Tomatillo!C14</f>
        <v>13</v>
      </c>
      <c r="D14" s="113" t="s">
        <v>57</v>
      </c>
      <c r="E14" s="108" t="str">
        <f>Tomatillo!E14</f>
        <v>Mayojoa</v>
      </c>
      <c r="F14" s="109">
        <f>Tomatillo!G14</f>
        <v>20</v>
      </c>
      <c r="G14" s="110">
        <f>Tomatillo!K14</f>
        <v>255</v>
      </c>
      <c r="H14" s="115">
        <f>Tomatillo!N14</f>
        <v>0</v>
      </c>
      <c r="I14" s="111">
        <f t="shared" ref="I14:I29" si="3">F14*G14-H14</f>
        <v>5100</v>
      </c>
      <c r="J14" s="117" t="s">
        <v>45</v>
      </c>
      <c r="K14" s="73">
        <f t="shared" si="1"/>
        <v>15</v>
      </c>
      <c r="L14" s="74"/>
      <c r="M14" s="74"/>
      <c r="N14" s="71">
        <v>46151</v>
      </c>
      <c r="O14" s="72">
        <v>97750</v>
      </c>
    </row>
    <row r="15" spans="2:16" ht="15.75" thickBot="1" x14ac:dyDescent="0.3">
      <c r="B15" s="107">
        <f>Tomatillo!B15</f>
        <v>46132</v>
      </c>
      <c r="C15" s="108">
        <f>Tomatillo!C15</f>
        <v>14</v>
      </c>
      <c r="D15" s="113" t="s">
        <v>58</v>
      </c>
      <c r="E15" s="108" t="str">
        <f>Tomatillo!E15</f>
        <v>Efrén Medina</v>
      </c>
      <c r="F15" s="109">
        <f>Tomatillo!G15</f>
        <v>150</v>
      </c>
      <c r="G15" s="110">
        <f>Tomatillo!K15</f>
        <v>255</v>
      </c>
      <c r="H15" s="115">
        <f>Tomatillo!N15</f>
        <v>0</v>
      </c>
      <c r="I15" s="111">
        <f t="shared" si="3"/>
        <v>38250</v>
      </c>
      <c r="J15" s="117" t="s">
        <v>45</v>
      </c>
      <c r="K15" s="73">
        <f t="shared" si="1"/>
        <v>15</v>
      </c>
      <c r="L15" s="74"/>
      <c r="M15" s="74"/>
      <c r="N15" s="71">
        <v>46154</v>
      </c>
      <c r="O15" s="72">
        <f>16320+9247</f>
        <v>25567</v>
      </c>
    </row>
    <row r="16" spans="2:16" ht="15.75" thickBot="1" x14ac:dyDescent="0.3">
      <c r="B16" s="107">
        <f>Tomatillo!B16</f>
        <v>46133</v>
      </c>
      <c r="C16" s="108">
        <f>Tomatillo!C16</f>
        <v>16</v>
      </c>
      <c r="D16" s="113" t="s">
        <v>59</v>
      </c>
      <c r="E16" s="108" t="str">
        <f>Tomatillo!E16</f>
        <v>Ziracua</v>
      </c>
      <c r="F16" s="109">
        <f>Tomatillo!G16</f>
        <v>200</v>
      </c>
      <c r="G16" s="110">
        <f>Tomatillo!K16</f>
        <v>272</v>
      </c>
      <c r="H16" s="115">
        <f>Tomatillo!N16</f>
        <v>0</v>
      </c>
      <c r="I16" s="111">
        <f t="shared" si="3"/>
        <v>54400</v>
      </c>
      <c r="J16" s="117" t="s">
        <v>45</v>
      </c>
      <c r="N16" s="71"/>
      <c r="O16" s="72"/>
    </row>
    <row r="17" spans="2:15" ht="15.75" thickBot="1" x14ac:dyDescent="0.3">
      <c r="B17" s="128">
        <f>Tomatillo!B17</f>
        <v>46133</v>
      </c>
      <c r="C17" s="129">
        <f>Tomatillo!C17</f>
        <v>16</v>
      </c>
      <c r="D17" s="130" t="s">
        <v>59</v>
      </c>
      <c r="E17" s="129" t="str">
        <f>Tomatillo!E17</f>
        <v>Ziracua</v>
      </c>
      <c r="F17" s="131">
        <f>Tomatillo!G17</f>
        <v>3</v>
      </c>
      <c r="G17" s="132">
        <f>Tomatillo!K17</f>
        <v>0</v>
      </c>
      <c r="H17" s="133">
        <f>Tomatillo!N17</f>
        <v>0</v>
      </c>
      <c r="I17" s="134">
        <f t="shared" si="3"/>
        <v>0</v>
      </c>
      <c r="J17" s="135"/>
      <c r="N17" s="71"/>
      <c r="O17" s="72"/>
    </row>
    <row r="18" spans="2:15" ht="15.75" thickBot="1" x14ac:dyDescent="0.3">
      <c r="B18" s="136">
        <f>Tomatillo!B18</f>
        <v>46134</v>
      </c>
      <c r="C18" s="81">
        <f>Tomatillo!C18</f>
        <v>17</v>
      </c>
      <c r="D18" s="85" t="s">
        <v>60</v>
      </c>
      <c r="E18" s="81" t="str">
        <f>Tomatillo!E18</f>
        <v>Frutierrez</v>
      </c>
      <c r="F18" s="82">
        <f>Tomatillo!G18</f>
        <v>48</v>
      </c>
      <c r="G18" s="83">
        <f>Tomatillo!K18</f>
        <v>255</v>
      </c>
      <c r="H18" s="75">
        <f>Tomatillo!N18</f>
        <v>0</v>
      </c>
      <c r="I18" s="84">
        <f t="shared" si="3"/>
        <v>12240</v>
      </c>
      <c r="J18" s="137" t="s">
        <v>54</v>
      </c>
      <c r="N18" s="71"/>
      <c r="O18" s="72"/>
    </row>
    <row r="19" spans="2:15" ht="15.75" thickBot="1" x14ac:dyDescent="0.3">
      <c r="B19" s="107">
        <f>Tomatillo!B19</f>
        <v>46134</v>
      </c>
      <c r="C19" s="108">
        <f>Tomatillo!C19</f>
        <v>18</v>
      </c>
      <c r="D19" s="113" t="s">
        <v>61</v>
      </c>
      <c r="E19" s="108" t="str">
        <f>Tomatillo!E19</f>
        <v>Porfirio Casarez</v>
      </c>
      <c r="F19" s="109">
        <f>Tomatillo!G19</f>
        <v>624</v>
      </c>
      <c r="G19" s="110">
        <f>Tomatillo!K19</f>
        <v>136</v>
      </c>
      <c r="H19" s="115">
        <f>Tomatillo!N19</f>
        <v>0</v>
      </c>
      <c r="I19" s="111">
        <f t="shared" si="3"/>
        <v>84864</v>
      </c>
      <c r="J19" s="138" t="s">
        <v>45</v>
      </c>
      <c r="N19" s="71"/>
      <c r="O19" s="72"/>
    </row>
    <row r="20" spans="2:15" ht="15.75" thickBot="1" x14ac:dyDescent="0.3">
      <c r="B20" s="107">
        <f>Tomatillo!B20</f>
        <v>46136</v>
      </c>
      <c r="C20" s="108">
        <f>Tomatillo!C20</f>
        <v>20</v>
      </c>
      <c r="D20" s="163" t="s">
        <v>62</v>
      </c>
      <c r="E20" s="108" t="str">
        <f>Tomatillo!E20</f>
        <v>Carlos Perez</v>
      </c>
      <c r="F20" s="109">
        <f>Tomatillo!G20</f>
        <v>30</v>
      </c>
      <c r="G20" s="110">
        <f>Tomatillo!K20</f>
        <v>204</v>
      </c>
      <c r="H20" s="164">
        <v>0</v>
      </c>
      <c r="I20" s="111">
        <f t="shared" si="3"/>
        <v>6120</v>
      </c>
      <c r="J20" s="165" t="s">
        <v>45</v>
      </c>
      <c r="N20" s="71"/>
      <c r="O20" s="72"/>
    </row>
    <row r="21" spans="2:15" ht="15.75" thickBot="1" x14ac:dyDescent="0.3">
      <c r="B21" s="107">
        <f>Tomatillo!B21</f>
        <v>46046</v>
      </c>
      <c r="C21" s="108">
        <f>Tomatillo!C21</f>
        <v>21</v>
      </c>
      <c r="D21" s="158" t="s">
        <v>63</v>
      </c>
      <c r="E21" s="108" t="str">
        <f>Tomatillo!E21</f>
        <v>Porfirio Casarez</v>
      </c>
      <c r="F21" s="109">
        <f>Tomatillo!G21</f>
        <v>1209</v>
      </c>
      <c r="G21" s="110">
        <f>Tomatillo!K21</f>
        <v>170</v>
      </c>
      <c r="H21" s="159">
        <v>0</v>
      </c>
      <c r="I21" s="111">
        <f t="shared" si="3"/>
        <v>205530</v>
      </c>
      <c r="J21" s="160" t="s">
        <v>45</v>
      </c>
      <c r="N21" s="71"/>
      <c r="O21" s="72"/>
    </row>
    <row r="22" spans="2:15" ht="15.75" thickBot="1" x14ac:dyDescent="0.3">
      <c r="B22" s="136">
        <f>Tomatillo!B22</f>
        <v>46137</v>
      </c>
      <c r="C22" s="81">
        <f>Tomatillo!C22</f>
        <v>23</v>
      </c>
      <c r="D22" s="161" t="s">
        <v>64</v>
      </c>
      <c r="E22" s="81" t="str">
        <f>Tomatillo!E22</f>
        <v>Carlos Perez</v>
      </c>
      <c r="F22" s="82">
        <f>Tomatillo!G22</f>
        <v>30</v>
      </c>
      <c r="G22" s="83">
        <f>Tomatillo!K22</f>
        <v>204</v>
      </c>
      <c r="H22" s="93">
        <v>0</v>
      </c>
      <c r="I22" s="84">
        <f t="shared" si="3"/>
        <v>6120</v>
      </c>
      <c r="J22" s="162" t="s">
        <v>54</v>
      </c>
      <c r="N22" s="71"/>
      <c r="O22" s="72"/>
    </row>
    <row r="23" spans="2:15" ht="15.75" thickBot="1" x14ac:dyDescent="0.3">
      <c r="B23" s="136">
        <f>Tomatillo!B23</f>
        <v>46142</v>
      </c>
      <c r="C23" s="81">
        <f>Tomatillo!C23</f>
        <v>27</v>
      </c>
      <c r="D23" s="161" t="s">
        <v>65</v>
      </c>
      <c r="E23" s="81" t="str">
        <f>Tomatillo!E23</f>
        <v>Samuel Cuadras</v>
      </c>
      <c r="F23" s="82">
        <f>Tomatillo!G23</f>
        <v>21</v>
      </c>
      <c r="G23" s="83">
        <f>Tomatillo!K23</f>
        <v>204</v>
      </c>
      <c r="H23" s="93">
        <v>0</v>
      </c>
      <c r="I23" s="84">
        <f t="shared" si="3"/>
        <v>4284</v>
      </c>
      <c r="J23" s="162" t="s">
        <v>54</v>
      </c>
      <c r="N23" s="71"/>
      <c r="O23" s="72"/>
    </row>
    <row r="24" spans="2:15" ht="15.75" thickBot="1" x14ac:dyDescent="0.3">
      <c r="B24" s="136">
        <f>Tomatillo!B24</f>
        <v>46142</v>
      </c>
      <c r="C24" s="81">
        <f>Tomatillo!C24</f>
        <v>28</v>
      </c>
      <c r="D24" s="161" t="s">
        <v>66</v>
      </c>
      <c r="E24" s="81" t="str">
        <f>Tomatillo!E24</f>
        <v>Bodega Lizarraga</v>
      </c>
      <c r="F24" s="82">
        <f>Tomatillo!G24</f>
        <v>384</v>
      </c>
      <c r="G24" s="83">
        <f>Tomatillo!K24</f>
        <v>204</v>
      </c>
      <c r="H24" s="93">
        <v>0</v>
      </c>
      <c r="I24" s="84">
        <f t="shared" si="3"/>
        <v>78336</v>
      </c>
      <c r="J24" s="162" t="s">
        <v>54</v>
      </c>
      <c r="N24" s="71"/>
      <c r="O24" s="72"/>
    </row>
    <row r="25" spans="2:15" ht="15.75" thickBot="1" x14ac:dyDescent="0.3">
      <c r="B25" s="136">
        <f>Tomatillo!B25</f>
        <v>46143</v>
      </c>
      <c r="C25" s="81">
        <f>Tomatillo!C25</f>
        <v>29</v>
      </c>
      <c r="D25" s="161" t="s">
        <v>67</v>
      </c>
      <c r="E25" s="81" t="str">
        <f>Tomatillo!E25</f>
        <v>Efrén Medina</v>
      </c>
      <c r="F25" s="82">
        <f>Tomatillo!G25</f>
        <v>80</v>
      </c>
      <c r="G25" s="83">
        <f>Tomatillo!K25</f>
        <v>221</v>
      </c>
      <c r="H25" s="93">
        <v>0</v>
      </c>
      <c r="I25" s="84">
        <f t="shared" si="3"/>
        <v>17680</v>
      </c>
      <c r="J25" s="162" t="s">
        <v>54</v>
      </c>
      <c r="N25" s="71"/>
      <c r="O25" s="72"/>
    </row>
    <row r="26" spans="2:15" ht="15.75" thickBot="1" x14ac:dyDescent="0.3">
      <c r="B26" s="136">
        <f>Tomatillo!B26</f>
        <v>46146</v>
      </c>
      <c r="C26" s="81">
        <f>Tomatillo!C26</f>
        <v>32</v>
      </c>
      <c r="D26" s="85" t="s">
        <v>68</v>
      </c>
      <c r="E26" s="81" t="str">
        <f>Tomatillo!E26</f>
        <v>Porfirio Casarez</v>
      </c>
      <c r="F26" s="82">
        <f>Tomatillo!G26</f>
        <v>1248</v>
      </c>
      <c r="G26" s="83">
        <f>Tomatillo!K26</f>
        <v>104.04</v>
      </c>
      <c r="H26" s="93">
        <v>0</v>
      </c>
      <c r="I26" s="84">
        <f t="shared" si="3"/>
        <v>129841.92000000001</v>
      </c>
      <c r="J26" s="94" t="s">
        <v>54</v>
      </c>
      <c r="N26" s="71"/>
      <c r="O26" s="72"/>
    </row>
    <row r="27" spans="2:15" ht="15.75" thickBot="1" x14ac:dyDescent="0.3">
      <c r="B27" s="136">
        <f>Tomatillo!B27</f>
        <v>46147</v>
      </c>
      <c r="C27" s="81">
        <f>Tomatillo!C27</f>
        <v>34</v>
      </c>
      <c r="D27" s="86" t="s">
        <v>69</v>
      </c>
      <c r="E27" s="81" t="str">
        <f>Tomatillo!E27</f>
        <v>Bodega Lizarraga</v>
      </c>
      <c r="F27" s="82">
        <f>Tomatillo!G27</f>
        <v>319</v>
      </c>
      <c r="G27" s="83">
        <f>Tomatillo!K27</f>
        <v>187</v>
      </c>
      <c r="H27" s="88">
        <v>0</v>
      </c>
      <c r="I27" s="84">
        <f t="shared" si="3"/>
        <v>59653</v>
      </c>
      <c r="J27" s="137" t="s">
        <v>54</v>
      </c>
      <c r="N27" s="71"/>
      <c r="O27" s="72"/>
    </row>
    <row r="28" spans="2:15" ht="15.75" thickBot="1" x14ac:dyDescent="0.3">
      <c r="B28" s="107">
        <f>Tomatillo!B28</f>
        <v>46149</v>
      </c>
      <c r="C28" s="108">
        <f>Tomatillo!C28</f>
        <v>35</v>
      </c>
      <c r="D28" s="113" t="s">
        <v>70</v>
      </c>
      <c r="E28" s="108" t="str">
        <f>Tomatillo!E28</f>
        <v>Mayojoa</v>
      </c>
      <c r="F28" s="109">
        <f>Tomatillo!G28</f>
        <v>1</v>
      </c>
      <c r="G28" s="110">
        <f>Tomatillo!K28</f>
        <v>136</v>
      </c>
      <c r="H28" s="115">
        <v>0</v>
      </c>
      <c r="I28" s="111">
        <f t="shared" si="3"/>
        <v>136</v>
      </c>
      <c r="J28" s="138" t="s">
        <v>45</v>
      </c>
      <c r="N28" s="71"/>
      <c r="O28" s="72"/>
    </row>
    <row r="29" spans="2:15" ht="15.75" thickBot="1" x14ac:dyDescent="0.3">
      <c r="B29" s="107">
        <f>Tomatillo!B29</f>
        <v>46149</v>
      </c>
      <c r="C29" s="108">
        <f>Tomatillo!C29</f>
        <v>36</v>
      </c>
      <c r="D29" s="113" t="s">
        <v>71</v>
      </c>
      <c r="E29" s="108" t="str">
        <f>Tomatillo!E29</f>
        <v>Mayojoa</v>
      </c>
      <c r="F29" s="109">
        <f>Tomatillo!G29</f>
        <v>59</v>
      </c>
      <c r="G29" s="110">
        <f>Tomatillo!K29</f>
        <v>119</v>
      </c>
      <c r="H29" s="115">
        <v>0</v>
      </c>
      <c r="I29" s="111">
        <f t="shared" si="3"/>
        <v>7021</v>
      </c>
      <c r="J29" s="138" t="s">
        <v>45</v>
      </c>
      <c r="N29" s="71"/>
      <c r="O29" s="72"/>
    </row>
    <row r="30" spans="2:15" ht="15.75" thickBot="1" x14ac:dyDescent="0.3">
      <c r="B30" s="107">
        <f>Tomatillo!B30</f>
        <v>46150</v>
      </c>
      <c r="C30" s="108">
        <f>Tomatillo!C30</f>
        <v>37</v>
      </c>
      <c r="D30" s="163" t="s">
        <v>99</v>
      </c>
      <c r="E30" s="108" t="str">
        <f>Tomatillo!E30</f>
        <v>Efrén Medina</v>
      </c>
      <c r="F30" s="109">
        <f>Tomatillo!G30</f>
        <v>120</v>
      </c>
      <c r="G30" s="110">
        <f>Tomatillo!K30</f>
        <v>136</v>
      </c>
      <c r="H30" s="115">
        <v>0</v>
      </c>
      <c r="I30" s="111">
        <f t="shared" ref="I30" si="4">F30*G30-H30</f>
        <v>16320</v>
      </c>
      <c r="J30" s="138" t="s">
        <v>45</v>
      </c>
      <c r="N30" s="71"/>
      <c r="O30" s="72"/>
    </row>
    <row r="31" spans="2:15" ht="15.75" thickBot="1" x14ac:dyDescent="0.3">
      <c r="B31" s="107">
        <f>Tomatillo!B31</f>
        <v>46154</v>
      </c>
      <c r="C31" s="108">
        <f>Tomatillo!C31</f>
        <v>46</v>
      </c>
      <c r="D31" s="113" t="s">
        <v>101</v>
      </c>
      <c r="E31" s="108" t="str">
        <f>Tomatillo!E31</f>
        <v>Mayojoa</v>
      </c>
      <c r="F31" s="109">
        <f>Tomatillo!G31</f>
        <v>104</v>
      </c>
      <c r="G31" s="110">
        <f>Tomatillo!K31</f>
        <v>88.910000000000011</v>
      </c>
      <c r="H31" s="115">
        <v>0</v>
      </c>
      <c r="I31" s="111">
        <f t="shared" ref="I31" si="5">F31*G31-H31</f>
        <v>9246.6400000000012</v>
      </c>
      <c r="J31" s="138" t="s">
        <v>45</v>
      </c>
      <c r="N31" s="71"/>
      <c r="O31" s="72"/>
    </row>
    <row r="32" spans="2:15" x14ac:dyDescent="0.25">
      <c r="B32" s="136"/>
      <c r="C32" s="81"/>
      <c r="D32" s="86"/>
      <c r="E32" s="86"/>
      <c r="F32" s="87"/>
      <c r="G32" s="88"/>
      <c r="H32" s="88"/>
      <c r="I32" s="93"/>
      <c r="J32" s="90"/>
      <c r="N32" s="71"/>
      <c r="O32" s="72"/>
    </row>
    <row r="33" spans="2:15" x14ac:dyDescent="0.25">
      <c r="B33" s="91"/>
      <c r="C33" s="85"/>
      <c r="D33" s="85"/>
      <c r="E33" s="85"/>
      <c r="F33" s="25"/>
      <c r="G33" s="75"/>
      <c r="H33" s="75"/>
      <c r="I33" s="75"/>
      <c r="J33" s="92"/>
      <c r="N33" s="71"/>
      <c r="O33" s="72"/>
    </row>
    <row r="34" spans="2:15" x14ac:dyDescent="0.25">
      <c r="B34" s="91"/>
      <c r="C34" s="85"/>
      <c r="D34" s="85"/>
      <c r="E34" s="85"/>
      <c r="F34" s="25"/>
      <c r="G34" s="75"/>
      <c r="H34" s="75"/>
      <c r="I34" s="75"/>
      <c r="J34" s="94"/>
      <c r="N34" s="71"/>
      <c r="O34" s="72"/>
    </row>
    <row r="35" spans="2:15" x14ac:dyDescent="0.25">
      <c r="B35" s="91"/>
      <c r="C35" s="85"/>
      <c r="D35" s="85"/>
      <c r="E35" s="85"/>
      <c r="F35" s="25"/>
      <c r="G35" s="75"/>
      <c r="H35" s="75"/>
      <c r="I35" s="75"/>
      <c r="J35" s="92"/>
      <c r="N35" s="71"/>
      <c r="O35" s="72"/>
    </row>
    <row r="36" spans="2:15" x14ac:dyDescent="0.25">
      <c r="B36" s="91"/>
      <c r="C36" s="85"/>
      <c r="D36" s="85"/>
      <c r="E36" s="85"/>
      <c r="F36" s="25"/>
      <c r="G36" s="75"/>
      <c r="H36" s="75"/>
      <c r="I36" s="75"/>
      <c r="J36" s="92"/>
      <c r="N36" s="71"/>
      <c r="O36" s="72"/>
    </row>
    <row r="37" spans="2:15" x14ac:dyDescent="0.25">
      <c r="B37" s="91"/>
      <c r="C37" s="85"/>
      <c r="D37" s="85"/>
      <c r="E37" s="85"/>
      <c r="F37" s="25"/>
      <c r="G37" s="75"/>
      <c r="H37" s="75"/>
      <c r="I37" s="75"/>
      <c r="J37" s="92"/>
      <c r="N37" s="76"/>
      <c r="O37" s="72"/>
    </row>
    <row r="38" spans="2:15" ht="15.75" thickBot="1" x14ac:dyDescent="0.3">
      <c r="B38" s="91"/>
      <c r="C38" s="85"/>
      <c r="D38" s="85"/>
      <c r="E38" s="85"/>
      <c r="F38" s="25"/>
      <c r="G38" s="75"/>
      <c r="H38" s="75"/>
      <c r="I38" s="75"/>
      <c r="J38" s="92"/>
      <c r="N38" s="77"/>
      <c r="O38" s="78"/>
    </row>
    <row r="39" spans="2:15" ht="15.75" thickBot="1" x14ac:dyDescent="0.3">
      <c r="B39" s="91"/>
      <c r="C39" s="85"/>
      <c r="D39" s="85"/>
      <c r="E39" s="85"/>
      <c r="F39" s="25"/>
      <c r="G39" s="75"/>
      <c r="H39" s="75"/>
      <c r="I39" s="75"/>
      <c r="J39" s="92"/>
      <c r="N39" s="66" t="s">
        <v>17</v>
      </c>
      <c r="O39" s="67">
        <f>SUM(O4:O38)</f>
        <v>731832</v>
      </c>
    </row>
    <row r="40" spans="2:15" ht="15.75" thickBot="1" x14ac:dyDescent="0.3">
      <c r="B40" s="89"/>
      <c r="C40" s="86"/>
      <c r="D40" s="86"/>
      <c r="E40" s="86"/>
      <c r="F40" s="87"/>
      <c r="G40" s="88"/>
      <c r="H40" s="88"/>
      <c r="I40" s="88"/>
      <c r="J40" s="90"/>
    </row>
    <row r="41" spans="2:15" ht="15.75" thickBot="1" x14ac:dyDescent="0.3">
      <c r="B41" s="91"/>
      <c r="C41" s="85"/>
      <c r="D41" s="85"/>
      <c r="E41" s="85"/>
      <c r="F41" s="25"/>
      <c r="G41" s="75"/>
      <c r="H41" s="75"/>
      <c r="I41" s="75"/>
      <c r="J41" s="92"/>
      <c r="N41" s="66" t="s">
        <v>72</v>
      </c>
      <c r="O41" s="67">
        <f>Tomatillo!Q2</f>
        <v>92709.664000000019</v>
      </c>
    </row>
    <row r="42" spans="2:15" ht="15.75" thickBot="1" x14ac:dyDescent="0.3">
      <c r="B42" s="91"/>
      <c r="C42" s="85"/>
      <c r="D42" s="85"/>
      <c r="E42" s="85"/>
      <c r="F42" s="25"/>
      <c r="G42" s="75"/>
      <c r="H42" s="75"/>
      <c r="I42" s="75"/>
      <c r="J42" s="92"/>
    </row>
    <row r="43" spans="2:15" ht="15.75" thickBot="1" x14ac:dyDescent="0.3">
      <c r="B43" s="91"/>
      <c r="C43" s="85"/>
      <c r="D43" s="85"/>
      <c r="E43" s="85"/>
      <c r="F43" s="25"/>
      <c r="G43" s="75"/>
      <c r="H43" s="75"/>
      <c r="I43" s="75"/>
      <c r="J43" s="92"/>
      <c r="N43" s="66" t="s">
        <v>73</v>
      </c>
      <c r="O43" s="67">
        <f>Tomatillo!T2</f>
        <v>964228.89600000007</v>
      </c>
    </row>
    <row r="44" spans="2:15" ht="15.75" thickBot="1" x14ac:dyDescent="0.3">
      <c r="B44" s="89"/>
      <c r="C44" s="86"/>
      <c r="D44" s="86"/>
      <c r="E44" s="86"/>
      <c r="F44" s="87"/>
      <c r="G44" s="88"/>
      <c r="H44" s="88"/>
      <c r="I44" s="75"/>
      <c r="J44" s="90"/>
    </row>
    <row r="45" spans="2:15" ht="15.75" thickBot="1" x14ac:dyDescent="0.3">
      <c r="B45" s="91"/>
      <c r="C45" s="85"/>
      <c r="D45" s="85"/>
      <c r="E45" s="85"/>
      <c r="F45" s="25"/>
      <c r="G45" s="75"/>
      <c r="H45" s="75"/>
      <c r="I45" s="75"/>
      <c r="J45" s="92"/>
      <c r="N45" s="66" t="s">
        <v>74</v>
      </c>
      <c r="O45" s="67">
        <f>+O43+O41-O39</f>
        <v>325106.56000000006</v>
      </c>
    </row>
    <row r="46" spans="2:15" x14ac:dyDescent="0.25">
      <c r="B46" s="91"/>
      <c r="C46" s="85"/>
      <c r="D46" s="85"/>
      <c r="E46" s="85"/>
      <c r="F46" s="25"/>
      <c r="G46" s="75"/>
      <c r="H46" s="75"/>
      <c r="I46" s="75"/>
      <c r="J46" s="92"/>
    </row>
    <row r="47" spans="2:15" x14ac:dyDescent="0.25">
      <c r="B47" s="89"/>
      <c r="C47" s="86"/>
      <c r="D47" s="86"/>
      <c r="E47" s="86"/>
      <c r="F47" s="87"/>
      <c r="G47" s="88"/>
      <c r="H47" s="88"/>
      <c r="I47" s="88"/>
      <c r="J47" s="90"/>
      <c r="O47" s="79"/>
    </row>
    <row r="48" spans="2:15" x14ac:dyDescent="0.25">
      <c r="B48" s="24"/>
      <c r="C48" s="25"/>
      <c r="D48" s="85"/>
      <c r="E48" s="25"/>
      <c r="F48" s="95"/>
      <c r="G48" s="75"/>
      <c r="H48" s="75"/>
      <c r="I48" s="75"/>
      <c r="J48" s="92"/>
    </row>
    <row r="49" spans="2:16" x14ac:dyDescent="0.25">
      <c r="B49" s="24"/>
      <c r="C49" s="25"/>
      <c r="D49" s="85"/>
      <c r="E49" s="25"/>
      <c r="F49" s="95"/>
      <c r="G49" s="75"/>
      <c r="H49" s="75"/>
      <c r="I49" s="75"/>
      <c r="J49" s="92"/>
      <c r="O49" s="80"/>
    </row>
    <row r="50" spans="2:16" x14ac:dyDescent="0.25">
      <c r="B50" s="24"/>
      <c r="C50" s="25"/>
      <c r="D50" s="85"/>
      <c r="E50" s="25"/>
      <c r="F50" s="95"/>
      <c r="G50" s="75"/>
      <c r="H50" s="75"/>
      <c r="I50" s="75"/>
      <c r="J50" s="92"/>
      <c r="O50" s="80"/>
    </row>
    <row r="51" spans="2:16" x14ac:dyDescent="0.25">
      <c r="B51" s="96"/>
      <c r="C51" s="87"/>
      <c r="D51" s="86"/>
      <c r="E51" s="87"/>
      <c r="F51" s="97"/>
      <c r="G51" s="88"/>
      <c r="H51" s="88"/>
      <c r="I51" s="88"/>
      <c r="J51" s="90"/>
      <c r="O51" s="80"/>
    </row>
    <row r="52" spans="2:16" x14ac:dyDescent="0.25">
      <c r="B52" s="96"/>
      <c r="C52" s="87"/>
      <c r="D52" s="86"/>
      <c r="E52" s="87"/>
      <c r="F52" s="97"/>
      <c r="G52" s="88"/>
      <c r="H52" s="88"/>
      <c r="I52" s="88"/>
      <c r="J52" s="90"/>
      <c r="O52" s="80"/>
      <c r="P52" s="80"/>
    </row>
    <row r="53" spans="2:16" x14ac:dyDescent="0.25">
      <c r="B53" s="24"/>
      <c r="C53" s="25"/>
      <c r="D53" s="85"/>
      <c r="E53" s="25"/>
      <c r="F53" s="95"/>
      <c r="G53" s="75"/>
      <c r="H53" s="75"/>
      <c r="I53" s="75"/>
      <c r="J53" s="92"/>
      <c r="O53" s="80"/>
      <c r="P53" s="80"/>
    </row>
    <row r="54" spans="2:16" x14ac:dyDescent="0.25">
      <c r="B54" s="96"/>
      <c r="C54" s="87"/>
      <c r="D54" s="86"/>
      <c r="E54" s="87"/>
      <c r="F54" s="97"/>
      <c r="G54" s="88"/>
      <c r="H54" s="88"/>
      <c r="I54" s="88"/>
      <c r="J54" s="90"/>
    </row>
    <row r="55" spans="2:16" x14ac:dyDescent="0.25">
      <c r="B55" s="24"/>
      <c r="C55" s="25"/>
      <c r="D55" s="85"/>
      <c r="E55" s="25"/>
      <c r="F55" s="95"/>
      <c r="G55" s="75"/>
      <c r="H55" s="75"/>
      <c r="I55" s="75"/>
      <c r="J55" s="92"/>
      <c r="O55" s="80"/>
      <c r="P55" s="80"/>
    </row>
    <row r="56" spans="2:16" x14ac:dyDescent="0.25">
      <c r="B56" s="96"/>
      <c r="C56" s="87"/>
      <c r="D56" s="86"/>
      <c r="E56" s="87"/>
      <c r="F56" s="97"/>
      <c r="G56" s="88"/>
      <c r="H56" s="88"/>
      <c r="I56" s="88"/>
      <c r="J56" s="90"/>
      <c r="O56" s="80"/>
      <c r="P56" s="80"/>
    </row>
    <row r="57" spans="2:16" x14ac:dyDescent="0.25">
      <c r="B57" s="24"/>
      <c r="C57" s="25"/>
      <c r="D57" s="85"/>
      <c r="E57" s="25"/>
      <c r="F57" s="95"/>
      <c r="G57" s="75"/>
      <c r="H57" s="75"/>
      <c r="I57" s="75"/>
      <c r="J57" s="92"/>
    </row>
    <row r="58" spans="2:16" x14ac:dyDescent="0.25">
      <c r="B58" s="24"/>
      <c r="C58" s="25"/>
      <c r="D58" s="85"/>
      <c r="E58" s="25"/>
      <c r="F58" s="95"/>
      <c r="G58" s="75"/>
      <c r="H58" s="75"/>
      <c r="I58" s="75"/>
      <c r="J58" s="92"/>
    </row>
    <row r="59" spans="2:16" x14ac:dyDescent="0.25">
      <c r="B59" s="24"/>
      <c r="C59" s="25"/>
      <c r="D59" s="85"/>
      <c r="E59" s="25"/>
      <c r="F59" s="95"/>
      <c r="G59" s="75"/>
      <c r="H59" s="75"/>
      <c r="I59" s="75"/>
      <c r="J59" s="92"/>
    </row>
    <row r="60" spans="2:16" x14ac:dyDescent="0.25">
      <c r="B60" s="96"/>
      <c r="C60" s="87"/>
      <c r="D60" s="86"/>
      <c r="E60" s="87"/>
      <c r="F60" s="97"/>
      <c r="G60" s="88"/>
      <c r="H60" s="88"/>
      <c r="I60" s="88"/>
      <c r="J60" s="90"/>
    </row>
    <row r="61" spans="2:16" x14ac:dyDescent="0.25">
      <c r="B61" s="96"/>
      <c r="C61" s="87"/>
      <c r="D61" s="86"/>
      <c r="E61" s="87"/>
      <c r="F61" s="97"/>
      <c r="G61" s="88"/>
      <c r="H61" s="88"/>
      <c r="I61" s="88"/>
      <c r="J61" s="90"/>
    </row>
    <row r="62" spans="2:16" x14ac:dyDescent="0.25">
      <c r="B62" s="96"/>
      <c r="C62" s="87"/>
      <c r="D62" s="86"/>
      <c r="E62" s="87"/>
      <c r="F62" s="97"/>
      <c r="G62" s="88"/>
      <c r="H62" s="88"/>
      <c r="I62" s="88"/>
      <c r="J62" s="90"/>
    </row>
    <row r="63" spans="2:16" x14ac:dyDescent="0.25">
      <c r="B63" s="24"/>
      <c r="C63" s="25"/>
      <c r="D63" s="85"/>
      <c r="E63" s="25"/>
      <c r="F63" s="95"/>
      <c r="G63" s="75"/>
      <c r="H63" s="75"/>
      <c r="I63" s="75"/>
      <c r="J63" s="92"/>
    </row>
    <row r="64" spans="2:16" x14ac:dyDescent="0.25">
      <c r="B64" s="24"/>
      <c r="C64" s="25"/>
      <c r="D64" s="85"/>
      <c r="E64" s="25"/>
      <c r="F64" s="95"/>
      <c r="G64" s="75"/>
      <c r="H64" s="75"/>
      <c r="I64" s="75"/>
      <c r="J64" s="92"/>
    </row>
    <row r="65" spans="2:10" x14ac:dyDescent="0.25">
      <c r="B65" s="24"/>
      <c r="C65" s="25"/>
      <c r="D65" s="85"/>
      <c r="E65" s="25"/>
      <c r="F65" s="95"/>
      <c r="G65" s="75"/>
      <c r="H65" s="75"/>
      <c r="I65" s="75"/>
      <c r="J65" s="92"/>
    </row>
    <row r="66" spans="2:10" x14ac:dyDescent="0.25">
      <c r="B66" s="96"/>
      <c r="C66" s="87"/>
      <c r="D66" s="86"/>
      <c r="E66" s="87"/>
      <c r="F66" s="97"/>
      <c r="G66" s="88"/>
      <c r="H66" s="88"/>
      <c r="I66" s="88"/>
      <c r="J66" s="90"/>
    </row>
    <row r="67" spans="2:10" x14ac:dyDescent="0.25">
      <c r="B67" s="24"/>
      <c r="C67" s="25"/>
      <c r="D67" s="85"/>
      <c r="E67" s="25"/>
      <c r="F67" s="95"/>
      <c r="G67" s="75"/>
      <c r="H67" s="75"/>
      <c r="I67" s="75"/>
      <c r="J67" s="92"/>
    </row>
    <row r="68" spans="2:10" x14ac:dyDescent="0.25">
      <c r="B68" s="24"/>
      <c r="C68" s="25"/>
      <c r="D68" s="85"/>
      <c r="E68" s="25"/>
      <c r="F68" s="95"/>
      <c r="G68" s="75"/>
      <c r="H68" s="75"/>
      <c r="I68" s="75"/>
      <c r="J68" s="92"/>
    </row>
    <row r="69" spans="2:10" x14ac:dyDescent="0.25">
      <c r="B69" s="96"/>
      <c r="C69" s="87"/>
      <c r="D69" s="86"/>
      <c r="E69" s="87"/>
      <c r="F69" s="97"/>
      <c r="G69" s="88"/>
      <c r="H69" s="88"/>
      <c r="I69" s="88"/>
      <c r="J69" s="90"/>
    </row>
    <row r="70" spans="2:10" x14ac:dyDescent="0.25">
      <c r="B70" s="96"/>
      <c r="C70" s="87"/>
      <c r="D70" s="86"/>
      <c r="E70" s="87"/>
      <c r="F70" s="97"/>
      <c r="G70" s="88"/>
      <c r="H70" s="88"/>
      <c r="I70" s="88"/>
      <c r="J70" s="90"/>
    </row>
    <row r="71" spans="2:10" x14ac:dyDescent="0.25">
      <c r="B71" s="96"/>
      <c r="C71" s="87"/>
      <c r="D71" s="86"/>
      <c r="E71" s="87"/>
      <c r="F71" s="97"/>
      <c r="G71" s="88"/>
      <c r="H71" s="88"/>
      <c r="I71" s="88"/>
      <c r="J71" s="90"/>
    </row>
    <row r="72" spans="2:10" x14ac:dyDescent="0.25">
      <c r="B72" s="24"/>
      <c r="C72" s="25"/>
      <c r="D72" s="85"/>
      <c r="E72" s="25"/>
      <c r="F72" s="95"/>
      <c r="G72" s="75"/>
      <c r="H72" s="75"/>
      <c r="I72" s="75"/>
      <c r="J72" s="92"/>
    </row>
    <row r="73" spans="2:10" x14ac:dyDescent="0.25">
      <c r="B73" s="24"/>
      <c r="C73" s="25"/>
      <c r="D73" s="85"/>
      <c r="E73" s="25"/>
      <c r="F73" s="95"/>
      <c r="G73" s="75"/>
      <c r="H73" s="75"/>
      <c r="I73" s="75"/>
      <c r="J73" s="92"/>
    </row>
    <row r="74" spans="2:10" x14ac:dyDescent="0.25">
      <c r="B74" s="24"/>
      <c r="C74" s="25"/>
      <c r="D74" s="85"/>
      <c r="E74" s="25"/>
      <c r="F74" s="95"/>
      <c r="G74" s="75"/>
      <c r="H74" s="75"/>
      <c r="I74" s="75"/>
      <c r="J74" s="98"/>
    </row>
    <row r="75" spans="2:10" x14ac:dyDescent="0.25">
      <c r="B75" s="96"/>
      <c r="C75" s="87"/>
      <c r="D75" s="86"/>
      <c r="E75" s="87"/>
      <c r="F75" s="97"/>
      <c r="G75" s="88"/>
      <c r="H75" s="88"/>
      <c r="I75" s="88"/>
      <c r="J75" s="90"/>
    </row>
    <row r="76" spans="2:10" x14ac:dyDescent="0.25">
      <c r="B76" s="96"/>
      <c r="C76" s="87"/>
      <c r="D76" s="86"/>
      <c r="E76" s="87"/>
      <c r="F76" s="97"/>
      <c r="G76" s="88"/>
      <c r="H76" s="88"/>
      <c r="I76" s="88"/>
      <c r="J76" s="99"/>
    </row>
    <row r="77" spans="2:10" x14ac:dyDescent="0.25">
      <c r="B77" s="24"/>
      <c r="C77" s="25"/>
      <c r="D77" s="85"/>
      <c r="E77" s="25"/>
      <c r="F77" s="95"/>
      <c r="G77" s="75"/>
      <c r="H77" s="75"/>
      <c r="I77" s="75"/>
      <c r="J77" s="92"/>
    </row>
    <row r="78" spans="2:10" x14ac:dyDescent="0.25">
      <c r="B78" s="24"/>
      <c r="C78" s="25"/>
      <c r="D78" s="85"/>
      <c r="E78" s="25"/>
      <c r="F78" s="95"/>
      <c r="G78" s="75"/>
      <c r="H78" s="75"/>
      <c r="I78" s="75"/>
      <c r="J78" s="92"/>
    </row>
    <row r="79" spans="2:10" x14ac:dyDescent="0.25">
      <c r="B79" s="96"/>
      <c r="C79" s="87"/>
      <c r="D79" s="86"/>
      <c r="E79" s="87"/>
      <c r="F79" s="97"/>
      <c r="G79" s="88"/>
      <c r="H79" s="88"/>
      <c r="I79" s="88"/>
      <c r="J79" s="90"/>
    </row>
    <row r="80" spans="2:10" x14ac:dyDescent="0.25">
      <c r="B80" s="96"/>
      <c r="C80" s="87"/>
      <c r="D80" s="86"/>
      <c r="E80" s="87"/>
      <c r="F80" s="97"/>
      <c r="G80" s="88"/>
      <c r="H80" s="88"/>
      <c r="I80" s="88"/>
      <c r="J80" s="90"/>
    </row>
    <row r="81" spans="2:10" x14ac:dyDescent="0.25">
      <c r="B81" s="24"/>
      <c r="C81" s="25"/>
      <c r="D81" s="85"/>
      <c r="E81" s="25"/>
      <c r="F81" s="95"/>
      <c r="G81" s="75"/>
      <c r="H81" s="75"/>
      <c r="I81" s="75"/>
      <c r="J81" s="92"/>
    </row>
    <row r="82" spans="2:10" x14ac:dyDescent="0.25">
      <c r="B82" s="96"/>
      <c r="C82" s="87"/>
      <c r="D82" s="86"/>
      <c r="E82" s="87"/>
      <c r="F82" s="97"/>
      <c r="G82" s="88"/>
      <c r="H82" s="88"/>
      <c r="I82" s="88"/>
      <c r="J82" s="90"/>
    </row>
    <row r="83" spans="2:10" x14ac:dyDescent="0.25">
      <c r="B83" s="96"/>
      <c r="C83" s="87"/>
      <c r="D83" s="86"/>
      <c r="E83" s="87"/>
      <c r="F83" s="97"/>
      <c r="G83" s="88"/>
      <c r="H83" s="88"/>
      <c r="I83" s="88"/>
      <c r="J83" s="90"/>
    </row>
    <row r="84" spans="2:10" x14ac:dyDescent="0.25">
      <c r="B84" s="24"/>
      <c r="C84" s="25"/>
      <c r="D84" s="85"/>
      <c r="E84" s="25"/>
      <c r="F84" s="95"/>
      <c r="G84" s="75"/>
      <c r="H84" s="75"/>
      <c r="I84" s="75"/>
      <c r="J84" s="92"/>
    </row>
    <row r="85" spans="2:10" x14ac:dyDescent="0.25">
      <c r="B85" s="96"/>
      <c r="C85" s="87"/>
      <c r="D85" s="86"/>
      <c r="E85" s="87"/>
      <c r="F85" s="97"/>
      <c r="G85" s="88"/>
      <c r="H85" s="88"/>
      <c r="I85" s="88"/>
      <c r="J85" s="90"/>
    </row>
    <row r="86" spans="2:10" x14ac:dyDescent="0.25">
      <c r="B86" s="24"/>
      <c r="C86" s="25"/>
      <c r="D86" s="85"/>
      <c r="E86" s="25"/>
      <c r="F86" s="95"/>
      <c r="G86" s="75"/>
      <c r="H86" s="75"/>
      <c r="I86" s="75"/>
      <c r="J86" s="92"/>
    </row>
    <row r="87" spans="2:10" x14ac:dyDescent="0.25">
      <c r="B87" s="96"/>
      <c r="C87" s="87"/>
      <c r="D87" s="86"/>
      <c r="E87" s="87"/>
      <c r="F87" s="97"/>
      <c r="G87" s="88"/>
      <c r="H87" s="88"/>
      <c r="I87" s="75"/>
      <c r="J87" s="90"/>
    </row>
    <row r="88" spans="2:10" x14ac:dyDescent="0.25">
      <c r="B88" s="24"/>
      <c r="C88" s="25"/>
      <c r="D88" s="85"/>
      <c r="E88" s="25"/>
      <c r="F88" s="95"/>
      <c r="G88" s="75"/>
      <c r="H88" s="75"/>
      <c r="I88" s="75"/>
      <c r="J88" s="92"/>
    </row>
    <row r="89" spans="2:10" x14ac:dyDescent="0.25">
      <c r="B89" s="96"/>
      <c r="C89" s="87"/>
      <c r="D89" s="86"/>
      <c r="E89" s="87"/>
      <c r="F89" s="97"/>
      <c r="G89" s="88"/>
      <c r="H89" s="88"/>
      <c r="I89" s="88"/>
      <c r="J89" s="90"/>
    </row>
    <row r="90" spans="2:10" x14ac:dyDescent="0.25">
      <c r="B90" s="24"/>
      <c r="C90" s="25"/>
      <c r="D90" s="85"/>
      <c r="E90" s="25"/>
      <c r="F90" s="95"/>
      <c r="G90" s="100"/>
      <c r="H90" s="75"/>
      <c r="I90" s="88"/>
      <c r="J90" s="92"/>
    </row>
    <row r="91" spans="2:10" x14ac:dyDescent="0.25">
      <c r="B91" s="24"/>
      <c r="C91" s="25"/>
      <c r="D91" s="85"/>
      <c r="E91" s="25"/>
      <c r="F91" s="95"/>
      <c r="G91" s="100"/>
      <c r="H91" s="88"/>
      <c r="I91" s="88"/>
      <c r="J91" s="92"/>
    </row>
    <row r="92" spans="2:10" x14ac:dyDescent="0.25">
      <c r="B92" s="96"/>
      <c r="C92" s="87"/>
      <c r="D92" s="86"/>
      <c r="E92" s="87"/>
      <c r="F92" s="97"/>
      <c r="G92" s="101"/>
      <c r="H92" s="102"/>
      <c r="I92" s="93"/>
      <c r="J92" s="103"/>
    </row>
    <row r="93" spans="2:10" x14ac:dyDescent="0.25">
      <c r="B93" s="24"/>
      <c r="C93" s="85"/>
      <c r="D93" s="85"/>
      <c r="E93" s="25"/>
      <c r="F93" s="95"/>
      <c r="G93" s="75"/>
      <c r="H93" s="75"/>
      <c r="I93" s="75"/>
      <c r="J93" s="92"/>
    </row>
    <row r="94" spans="2:10" x14ac:dyDescent="0.25">
      <c r="B94" s="24"/>
      <c r="C94" s="85"/>
      <c r="D94" s="85"/>
      <c r="E94" s="25"/>
      <c r="F94" s="95"/>
      <c r="G94" s="100"/>
      <c r="H94" s="75"/>
      <c r="I94" s="75"/>
      <c r="J94" s="92"/>
    </row>
    <row r="95" spans="2:10" x14ac:dyDescent="0.25">
      <c r="B95" s="24"/>
      <c r="C95" s="85"/>
      <c r="D95" s="85"/>
      <c r="E95" s="25"/>
      <c r="F95" s="95"/>
      <c r="G95" s="100"/>
      <c r="H95" s="75"/>
      <c r="I95" s="75"/>
      <c r="J95" s="92"/>
    </row>
    <row r="96" spans="2:10" x14ac:dyDescent="0.25">
      <c r="B96" s="24"/>
      <c r="C96" s="85"/>
      <c r="D96" s="85"/>
      <c r="E96" s="25"/>
      <c r="F96" s="95"/>
      <c r="G96" s="100"/>
      <c r="H96" s="75"/>
      <c r="I96" s="75"/>
      <c r="J96" s="92"/>
    </row>
    <row r="97" spans="2:10" x14ac:dyDescent="0.25">
      <c r="B97" s="24"/>
      <c r="C97" s="85"/>
      <c r="D97" s="85"/>
      <c r="E97" s="25"/>
      <c r="F97" s="95"/>
      <c r="G97" s="100"/>
      <c r="H97" s="75"/>
      <c r="I97" s="75"/>
      <c r="J97" s="92"/>
    </row>
    <row r="98" spans="2:10" x14ac:dyDescent="0.25">
      <c r="B98" s="91"/>
      <c r="C98" s="85"/>
      <c r="D98" s="85"/>
      <c r="E98" s="85"/>
      <c r="F98" s="25"/>
      <c r="G98" s="75"/>
      <c r="H98" s="75"/>
      <c r="I98" s="75"/>
      <c r="J98" s="94"/>
    </row>
    <row r="99" spans="2:10" x14ac:dyDescent="0.25">
      <c r="B99" s="91"/>
      <c r="C99" s="85"/>
      <c r="D99" s="85"/>
      <c r="E99" s="85"/>
      <c r="F99" s="25"/>
      <c r="G99" s="75"/>
      <c r="H99" s="75"/>
      <c r="I99" s="75"/>
      <c r="J99" s="92"/>
    </row>
    <row r="100" spans="2:10" x14ac:dyDescent="0.25">
      <c r="B100" s="91"/>
      <c r="C100" s="85"/>
      <c r="D100" s="85"/>
      <c r="E100" s="85"/>
      <c r="F100" s="25"/>
      <c r="G100" s="75"/>
      <c r="H100" s="75"/>
      <c r="I100" s="75"/>
      <c r="J100" s="92"/>
    </row>
    <row r="101" spans="2:10" x14ac:dyDescent="0.25">
      <c r="B101" s="91"/>
      <c r="C101" s="85"/>
      <c r="D101" s="85"/>
      <c r="E101" s="85"/>
      <c r="F101" s="25"/>
      <c r="G101" s="75"/>
      <c r="H101" s="75"/>
      <c r="I101" s="75"/>
      <c r="J101" s="92"/>
    </row>
    <row r="102" spans="2:10" x14ac:dyDescent="0.25">
      <c r="B102" s="91"/>
      <c r="C102" s="85"/>
      <c r="D102" s="85"/>
      <c r="E102" s="85"/>
      <c r="F102" s="25"/>
      <c r="G102" s="75"/>
      <c r="H102" s="75"/>
      <c r="I102" s="75"/>
      <c r="J102" s="92"/>
    </row>
    <row r="103" spans="2:10" x14ac:dyDescent="0.25">
      <c r="B103" s="91"/>
      <c r="C103" s="85"/>
      <c r="D103" s="85"/>
      <c r="E103" s="85"/>
      <c r="F103" s="25"/>
      <c r="G103" s="75"/>
      <c r="H103" s="75"/>
      <c r="I103" s="75"/>
      <c r="J103" s="94"/>
    </row>
    <row r="104" spans="2:10" x14ac:dyDescent="0.25">
      <c r="B104" s="91"/>
      <c r="C104" s="85"/>
      <c r="D104" s="85"/>
      <c r="E104" s="85"/>
      <c r="F104" s="25"/>
      <c r="G104" s="75"/>
      <c r="H104" s="75"/>
      <c r="I104" s="75"/>
      <c r="J104" s="92"/>
    </row>
    <row r="105" spans="2:10" x14ac:dyDescent="0.25">
      <c r="B105" s="91"/>
      <c r="C105" s="85"/>
      <c r="D105" s="85"/>
      <c r="E105" s="85"/>
      <c r="F105" s="25"/>
      <c r="G105" s="75"/>
      <c r="H105" s="75"/>
      <c r="I105" s="75"/>
      <c r="J105" s="92"/>
    </row>
    <row r="106" spans="2:10" x14ac:dyDescent="0.25">
      <c r="B106" s="91"/>
      <c r="C106" s="85"/>
      <c r="D106" s="85"/>
      <c r="E106" s="85"/>
      <c r="F106" s="25"/>
      <c r="G106" s="75"/>
      <c r="H106" s="75"/>
      <c r="I106" s="75"/>
      <c r="J106" s="94"/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4314C-68A6-4266-8FA4-11EA17178DDD}">
  <dimension ref="B1:P105"/>
  <sheetViews>
    <sheetView tabSelected="1" topLeftCell="E1" zoomScale="80" zoomScaleNormal="80" workbookViewId="0">
      <selection activeCell="I18" activeCellId="1" sqref="I15 I18"/>
    </sheetView>
  </sheetViews>
  <sheetFormatPr baseColWidth="10" defaultColWidth="11.42578125" defaultRowHeight="15" x14ac:dyDescent="0.25"/>
  <cols>
    <col min="1" max="1" width="2.85546875" style="47" customWidth="1"/>
    <col min="2" max="3" width="11.42578125" style="47"/>
    <col min="4" max="4" width="14.140625" style="47" customWidth="1"/>
    <col min="5" max="5" width="17.7109375" style="47" customWidth="1"/>
    <col min="6" max="6" width="9.5703125" style="1" bestFit="1" customWidth="1"/>
    <col min="7" max="7" width="11.42578125" style="48"/>
    <col min="8" max="8" width="15.5703125" style="48" bestFit="1" customWidth="1"/>
    <col min="9" max="9" width="24.7109375" style="48" bestFit="1" customWidth="1"/>
    <col min="10" max="11" width="16" style="47" bestFit="1" customWidth="1"/>
    <col min="12" max="12" width="15.42578125" style="47" customWidth="1"/>
    <col min="13" max="13" width="2.5703125" style="47" customWidth="1"/>
    <col min="14" max="14" width="21.5703125" style="47" customWidth="1"/>
    <col min="15" max="15" width="16" style="47" bestFit="1" customWidth="1"/>
    <col min="16" max="16" width="13.7109375" style="47" customWidth="1"/>
    <col min="17" max="17" width="8.28515625" style="47" customWidth="1"/>
    <col min="18" max="16384" width="11.42578125" style="47"/>
  </cols>
  <sheetData>
    <row r="1" spans="2:16" ht="16.5" thickBot="1" x14ac:dyDescent="0.3">
      <c r="B1" s="46" t="s">
        <v>35</v>
      </c>
      <c r="I1" s="139">
        <f>I2/(F2*17)</f>
        <v>28.964809075630253</v>
      </c>
      <c r="J1" s="140" t="s">
        <v>36</v>
      </c>
    </row>
    <row r="2" spans="2:16" ht="16.5" thickBot="1" x14ac:dyDescent="0.3">
      <c r="C2" s="144" t="s">
        <v>17</v>
      </c>
      <c r="F2" s="145">
        <f>SUM(F4:F390)</f>
        <v>1750</v>
      </c>
      <c r="G2" s="146">
        <f>I2/F2</f>
        <v>492.40175428571433</v>
      </c>
      <c r="H2" s="147">
        <f>SUM(H4:H390)</f>
        <v>0</v>
      </c>
      <c r="I2" s="53">
        <f>SUM(I4:I390)</f>
        <v>861703.07000000007</v>
      </c>
      <c r="J2" s="148">
        <f>O38</f>
        <v>702245</v>
      </c>
      <c r="K2" s="55">
        <f>O44</f>
        <v>162678.07000000007</v>
      </c>
      <c r="L2" s="56" t="s">
        <v>37</v>
      </c>
      <c r="O2" s="46" t="s">
        <v>38</v>
      </c>
    </row>
    <row r="3" spans="2:16" ht="15.75" thickBot="1" x14ac:dyDescent="0.3">
      <c r="B3" s="151" t="s">
        <v>1</v>
      </c>
      <c r="C3" s="152" t="s">
        <v>2</v>
      </c>
      <c r="D3" s="152" t="s">
        <v>39</v>
      </c>
      <c r="E3" s="152" t="s">
        <v>4</v>
      </c>
      <c r="F3" s="153" t="s">
        <v>40</v>
      </c>
      <c r="G3" s="154" t="s">
        <v>10</v>
      </c>
      <c r="H3" s="155" t="s">
        <v>13</v>
      </c>
      <c r="I3" s="156" t="s">
        <v>41</v>
      </c>
      <c r="J3" s="67" t="s">
        <v>42</v>
      </c>
      <c r="K3" s="143">
        <v>0</v>
      </c>
      <c r="L3" s="56" t="s">
        <v>43</v>
      </c>
      <c r="N3" s="66" t="s">
        <v>1</v>
      </c>
      <c r="O3" s="67" t="s">
        <v>41</v>
      </c>
    </row>
    <row r="4" spans="2:16" ht="15.75" thickBot="1" x14ac:dyDescent="0.3">
      <c r="B4" s="149">
        <v>46135</v>
      </c>
      <c r="C4" s="150">
        <v>19</v>
      </c>
      <c r="D4" s="150" t="s">
        <v>75</v>
      </c>
      <c r="E4" s="150" t="s">
        <v>29</v>
      </c>
      <c r="F4" s="19">
        <v>34</v>
      </c>
      <c r="G4" s="84">
        <v>600</v>
      </c>
      <c r="H4" s="84">
        <v>0</v>
      </c>
      <c r="I4" s="84">
        <f t="shared" ref="I4:I12" si="0">F4*G4-H4</f>
        <v>20400</v>
      </c>
      <c r="J4" s="157" t="s">
        <v>54</v>
      </c>
      <c r="K4" s="142">
        <f>[1]VENTAS!R2</f>
        <v>691969.5</v>
      </c>
      <c r="L4" s="56" t="s">
        <v>46</v>
      </c>
      <c r="N4" s="69">
        <v>46140</v>
      </c>
      <c r="O4" s="70">
        <v>54225</v>
      </c>
    </row>
    <row r="5" spans="2:16" x14ac:dyDescent="0.25">
      <c r="B5" s="173">
        <f>Roma!B5</f>
        <v>46140</v>
      </c>
      <c r="C5" s="113">
        <f>Roma!C5</f>
        <v>25</v>
      </c>
      <c r="D5" s="113" t="s">
        <v>76</v>
      </c>
      <c r="E5" s="113" t="str">
        <f>Roma!E5</f>
        <v>Carlos Perez</v>
      </c>
      <c r="F5" s="174">
        <f>Roma!H5</f>
        <v>83</v>
      </c>
      <c r="G5" s="115">
        <f>Roma!K5</f>
        <v>653.30999999999995</v>
      </c>
      <c r="H5" s="111">
        <f>Roma!N5</f>
        <v>0</v>
      </c>
      <c r="I5" s="115">
        <f>Roma!O5</f>
        <v>54224.729999999996</v>
      </c>
      <c r="J5" s="138" t="s">
        <v>45</v>
      </c>
      <c r="N5" s="71">
        <v>46142</v>
      </c>
      <c r="O5" s="72">
        <v>65460</v>
      </c>
      <c r="P5" s="141"/>
    </row>
    <row r="6" spans="2:16" x14ac:dyDescent="0.25">
      <c r="B6" s="173">
        <f>Roma!B6</f>
        <v>46142</v>
      </c>
      <c r="C6" s="113">
        <f>Roma!C6</f>
        <v>26</v>
      </c>
      <c r="D6" s="113" t="s">
        <v>77</v>
      </c>
      <c r="E6" s="113" t="str">
        <f>Roma!E6</f>
        <v>Efrén Medina</v>
      </c>
      <c r="F6" s="174">
        <f>Roma!H6</f>
        <v>101</v>
      </c>
      <c r="G6" s="115">
        <f>Roma!K6</f>
        <v>648.12</v>
      </c>
      <c r="H6" s="111">
        <v>0</v>
      </c>
      <c r="I6" s="115">
        <f>Roma!O6</f>
        <v>65460.12</v>
      </c>
      <c r="J6" s="138" t="s">
        <v>45</v>
      </c>
      <c r="N6" s="71">
        <v>46146</v>
      </c>
      <c r="O6" s="72">
        <v>110950</v>
      </c>
    </row>
    <row r="7" spans="2:16" x14ac:dyDescent="0.25">
      <c r="B7" s="173">
        <f>Roma!B7</f>
        <v>46144</v>
      </c>
      <c r="C7" s="113">
        <f>Roma!C7</f>
        <v>31</v>
      </c>
      <c r="D7" s="113" t="s">
        <v>78</v>
      </c>
      <c r="E7" s="113" t="str">
        <f>Roma!E7</f>
        <v>Carlos Perez</v>
      </c>
      <c r="F7" s="174">
        <v>171</v>
      </c>
      <c r="G7" s="115">
        <v>648.83000000000004</v>
      </c>
      <c r="H7" s="111">
        <v>0</v>
      </c>
      <c r="I7" s="115">
        <f t="shared" si="0"/>
        <v>110949.93000000001</v>
      </c>
      <c r="J7" s="138" t="s">
        <v>45</v>
      </c>
      <c r="K7" s="73"/>
      <c r="N7" s="71">
        <v>46148</v>
      </c>
      <c r="O7" s="72">
        <v>134840</v>
      </c>
    </row>
    <row r="8" spans="2:16" x14ac:dyDescent="0.25">
      <c r="B8" s="173">
        <f>Roma!B8</f>
        <v>46147</v>
      </c>
      <c r="C8" s="113">
        <f>Roma!C8</f>
        <v>33</v>
      </c>
      <c r="D8" s="113" t="s">
        <v>79</v>
      </c>
      <c r="E8" s="113" t="str">
        <f>Roma!E8</f>
        <v>Luis Carlos Cejudo</v>
      </c>
      <c r="F8" s="174">
        <f>Roma!H8</f>
        <v>211</v>
      </c>
      <c r="G8" s="115">
        <f>Roma!K8</f>
        <v>639.04999999999995</v>
      </c>
      <c r="H8" s="111">
        <v>0</v>
      </c>
      <c r="I8" s="115">
        <f>F8*G8-H8</f>
        <v>134839.54999999999</v>
      </c>
      <c r="J8" s="138" t="s">
        <v>45</v>
      </c>
      <c r="K8" s="73"/>
      <c r="N8" s="71">
        <v>46150</v>
      </c>
      <c r="O8" s="72">
        <f>108000+24000+620</f>
        <v>132620</v>
      </c>
    </row>
    <row r="9" spans="2:16" x14ac:dyDescent="0.25">
      <c r="B9" s="173">
        <f>Roma!B9</f>
        <v>46149</v>
      </c>
      <c r="C9" s="113">
        <f>Roma!C9</f>
        <v>35</v>
      </c>
      <c r="D9" s="113" t="s">
        <v>70</v>
      </c>
      <c r="E9" s="113" t="str">
        <f>Roma!E9</f>
        <v>Mayojoa</v>
      </c>
      <c r="F9" s="174">
        <f>Roma!H9</f>
        <v>1</v>
      </c>
      <c r="G9" s="115">
        <f>Roma!K9</f>
        <v>620</v>
      </c>
      <c r="H9" s="111">
        <v>0</v>
      </c>
      <c r="I9" s="115">
        <f t="shared" ref="I9:I11" si="1">F9*G9-H9</f>
        <v>620</v>
      </c>
      <c r="J9" s="138" t="s">
        <v>45</v>
      </c>
      <c r="K9" s="73"/>
      <c r="N9" s="71">
        <v>46154</v>
      </c>
      <c r="O9" s="72">
        <v>145550</v>
      </c>
    </row>
    <row r="10" spans="2:16" x14ac:dyDescent="0.25">
      <c r="B10" s="173">
        <f>Roma!B10</f>
        <v>46150</v>
      </c>
      <c r="C10" s="113">
        <f>Roma!C10</f>
        <v>38</v>
      </c>
      <c r="D10" s="113" t="s">
        <v>94</v>
      </c>
      <c r="E10" s="113" t="str">
        <f>Roma!E10</f>
        <v>Mayojoa</v>
      </c>
      <c r="F10" s="174">
        <f>Roma!H10</f>
        <v>50</v>
      </c>
      <c r="G10" s="115">
        <f>Roma!K10</f>
        <v>480</v>
      </c>
      <c r="H10" s="111">
        <v>0</v>
      </c>
      <c r="I10" s="115">
        <f t="shared" si="1"/>
        <v>24000</v>
      </c>
      <c r="J10" s="138" t="s">
        <v>45</v>
      </c>
      <c r="K10" s="73"/>
      <c r="N10" s="71">
        <v>46155</v>
      </c>
      <c r="O10" s="72">
        <v>58600</v>
      </c>
    </row>
    <row r="11" spans="2:16" x14ac:dyDescent="0.25">
      <c r="B11" s="173">
        <f>Roma!B11</f>
        <v>46150</v>
      </c>
      <c r="C11" s="113">
        <f>Roma!C11</f>
        <v>39</v>
      </c>
      <c r="D11" s="113" t="s">
        <v>93</v>
      </c>
      <c r="E11" s="113" t="str">
        <f>Roma!E11</f>
        <v>Carlos Perez</v>
      </c>
      <c r="F11" s="174">
        <f>Roma!H11</f>
        <v>240</v>
      </c>
      <c r="G11" s="115">
        <f>Roma!K11</f>
        <v>450</v>
      </c>
      <c r="H11" s="111">
        <v>0</v>
      </c>
      <c r="I11" s="115">
        <f t="shared" si="1"/>
        <v>108000</v>
      </c>
      <c r="J11" s="138" t="s">
        <v>45</v>
      </c>
      <c r="K11" s="73"/>
      <c r="L11" s="79"/>
      <c r="N11" s="71"/>
      <c r="O11" s="72"/>
    </row>
    <row r="12" spans="2:16" x14ac:dyDescent="0.25">
      <c r="B12" s="173">
        <f>Roma!B13</f>
        <v>46153</v>
      </c>
      <c r="C12" s="113">
        <f>Roma!C13</f>
        <v>42</v>
      </c>
      <c r="D12" s="113" t="s">
        <v>95</v>
      </c>
      <c r="E12" s="113" t="str">
        <f>Roma!E13</f>
        <v>Epifanio Lopez</v>
      </c>
      <c r="F12" s="174">
        <f>Roma!H13</f>
        <v>80</v>
      </c>
      <c r="G12" s="115">
        <f>Roma!K13</f>
        <v>430</v>
      </c>
      <c r="H12" s="111">
        <v>0</v>
      </c>
      <c r="I12" s="115">
        <f t="shared" si="0"/>
        <v>34400</v>
      </c>
      <c r="J12" s="138" t="s">
        <v>45</v>
      </c>
      <c r="K12" s="73"/>
      <c r="N12" s="71"/>
      <c r="O12" s="72"/>
    </row>
    <row r="13" spans="2:16" x14ac:dyDescent="0.25">
      <c r="B13" s="173">
        <f>Roma!B14</f>
        <v>46153</v>
      </c>
      <c r="C13" s="113">
        <f>Roma!C14</f>
        <v>43</v>
      </c>
      <c r="D13" s="113" t="s">
        <v>96</v>
      </c>
      <c r="E13" s="113" t="str">
        <f>Roma!E14</f>
        <v>Mayojoa</v>
      </c>
      <c r="F13" s="174">
        <f>Roma!H14</f>
        <v>39</v>
      </c>
      <c r="G13" s="115">
        <f>Roma!K14</f>
        <v>388.46</v>
      </c>
      <c r="H13" s="111">
        <v>0</v>
      </c>
      <c r="I13" s="115">
        <f>F13*G13-H13</f>
        <v>15149.939999999999</v>
      </c>
      <c r="J13" s="138" t="s">
        <v>45</v>
      </c>
      <c r="K13" s="73"/>
      <c r="N13" s="71"/>
      <c r="O13" s="72"/>
    </row>
    <row r="14" spans="2:16" x14ac:dyDescent="0.25">
      <c r="B14" s="173">
        <f>Roma!B15</f>
        <v>46153</v>
      </c>
      <c r="C14" s="113">
        <f>Roma!C15</f>
        <v>44</v>
      </c>
      <c r="D14" s="113" t="s">
        <v>97</v>
      </c>
      <c r="E14" s="113" t="str">
        <f>Roma!E15</f>
        <v>Efrén Medina</v>
      </c>
      <c r="F14" s="174">
        <f>Roma!H15</f>
        <v>240</v>
      </c>
      <c r="G14" s="115">
        <f>Roma!K15</f>
        <v>400</v>
      </c>
      <c r="H14" s="111">
        <v>0</v>
      </c>
      <c r="I14" s="115">
        <f t="shared" ref="I14" si="2">F14*G14-H14</f>
        <v>96000</v>
      </c>
      <c r="J14" s="138" t="s">
        <v>45</v>
      </c>
      <c r="K14" s="73"/>
      <c r="L14" s="74"/>
      <c r="M14" s="74"/>
      <c r="N14" s="71"/>
      <c r="O14" s="72"/>
    </row>
    <row r="15" spans="2:16" x14ac:dyDescent="0.25">
      <c r="B15" s="91">
        <f>Roma!B16</f>
        <v>46153</v>
      </c>
      <c r="C15" s="85">
        <f>Roma!C16</f>
        <v>45</v>
      </c>
      <c r="D15" s="85" t="s">
        <v>100</v>
      </c>
      <c r="E15" s="85" t="str">
        <f>Roma!E16</f>
        <v>Bodega Lizarraga</v>
      </c>
      <c r="F15" s="25">
        <f>Roma!H16</f>
        <v>330</v>
      </c>
      <c r="G15" s="75">
        <f>Roma!K16</f>
        <v>398.36</v>
      </c>
      <c r="H15" s="84">
        <v>0</v>
      </c>
      <c r="I15" s="75">
        <f t="shared" ref="I15" si="3">F15*G15-H15</f>
        <v>131458.80000000002</v>
      </c>
      <c r="J15" s="94" t="s">
        <v>54</v>
      </c>
      <c r="K15" s="73"/>
      <c r="L15" s="74"/>
      <c r="M15" s="74"/>
      <c r="N15" s="71"/>
      <c r="O15" s="72"/>
    </row>
    <row r="16" spans="2:16" x14ac:dyDescent="0.25">
      <c r="B16" s="173">
        <f>Roma!B17</f>
        <v>46155</v>
      </c>
      <c r="C16" s="113">
        <f>Roma!C17</f>
        <v>47</v>
      </c>
      <c r="D16" s="113" t="s">
        <v>103</v>
      </c>
      <c r="E16" s="113" t="str">
        <f>Roma!E17</f>
        <v>Mayojoa</v>
      </c>
      <c r="F16" s="174">
        <f>Roma!H17</f>
        <v>70</v>
      </c>
      <c r="G16" s="115">
        <f>Roma!K17</f>
        <v>380</v>
      </c>
      <c r="H16" s="111">
        <v>0</v>
      </c>
      <c r="I16" s="115">
        <f t="shared" ref="I16:I17" si="4">F16*G16-H16</f>
        <v>26600</v>
      </c>
      <c r="J16" s="138" t="s">
        <v>45</v>
      </c>
      <c r="N16" s="71"/>
      <c r="O16" s="72"/>
    </row>
    <row r="17" spans="2:15" x14ac:dyDescent="0.25">
      <c r="B17" s="173">
        <f>Roma!B18</f>
        <v>46155</v>
      </c>
      <c r="C17" s="113">
        <f>Roma!C18</f>
        <v>48</v>
      </c>
      <c r="D17" s="113" t="s">
        <v>104</v>
      </c>
      <c r="E17" s="113" t="str">
        <f>Roma!E18</f>
        <v>Epifanio Lopez</v>
      </c>
      <c r="F17" s="174">
        <f>Roma!H18</f>
        <v>80</v>
      </c>
      <c r="G17" s="115">
        <f>Roma!K18</f>
        <v>400</v>
      </c>
      <c r="H17" s="111">
        <v>0</v>
      </c>
      <c r="I17" s="115">
        <f t="shared" si="4"/>
        <v>32000</v>
      </c>
      <c r="J17" s="138" t="s">
        <v>45</v>
      </c>
      <c r="N17" s="71"/>
      <c r="O17" s="72"/>
    </row>
    <row r="18" spans="2:15" x14ac:dyDescent="0.25">
      <c r="B18" s="91">
        <f>Roma!B19</f>
        <v>46155</v>
      </c>
      <c r="C18" s="85">
        <f>Roma!C19</f>
        <v>49</v>
      </c>
      <c r="D18" s="85" t="s">
        <v>105</v>
      </c>
      <c r="E18" s="85" t="str">
        <f>Roma!E19</f>
        <v>Mayojoa</v>
      </c>
      <c r="F18" s="25">
        <f>Roma!H19</f>
        <v>20</v>
      </c>
      <c r="G18" s="75">
        <f>Roma!K19</f>
        <v>380</v>
      </c>
      <c r="H18" s="84">
        <v>0</v>
      </c>
      <c r="I18" s="75">
        <f t="shared" ref="I18" si="5">F18*G18-H18</f>
        <v>7600</v>
      </c>
      <c r="J18" s="94" t="s">
        <v>54</v>
      </c>
      <c r="N18" s="71"/>
      <c r="O18" s="72"/>
    </row>
    <row r="19" spans="2:15" x14ac:dyDescent="0.25">
      <c r="B19" s="91"/>
      <c r="C19" s="85"/>
      <c r="D19" s="85"/>
      <c r="E19" s="85"/>
      <c r="F19" s="25"/>
      <c r="G19" s="75"/>
      <c r="H19" s="75"/>
      <c r="I19" s="75"/>
      <c r="J19" s="94"/>
      <c r="N19" s="71"/>
      <c r="O19" s="72"/>
    </row>
    <row r="20" spans="2:15" x14ac:dyDescent="0.25">
      <c r="B20" s="91"/>
      <c r="C20" s="85"/>
      <c r="D20" s="85"/>
      <c r="E20" s="85"/>
      <c r="F20" s="25"/>
      <c r="G20" s="75"/>
      <c r="H20" s="75"/>
      <c r="I20" s="75"/>
      <c r="J20" s="92"/>
      <c r="N20" s="71"/>
      <c r="O20" s="72"/>
    </row>
    <row r="21" spans="2:15" x14ac:dyDescent="0.25">
      <c r="B21" s="91"/>
      <c r="C21" s="85"/>
      <c r="D21" s="85"/>
      <c r="E21" s="85"/>
      <c r="F21" s="25"/>
      <c r="G21" s="75"/>
      <c r="H21" s="75"/>
      <c r="I21" s="75"/>
      <c r="J21" s="92"/>
      <c r="N21" s="71"/>
      <c r="O21" s="72"/>
    </row>
    <row r="22" spans="2:15" x14ac:dyDescent="0.25">
      <c r="B22" s="91"/>
      <c r="C22" s="85"/>
      <c r="D22" s="85"/>
      <c r="E22" s="85"/>
      <c r="F22" s="25"/>
      <c r="G22" s="75"/>
      <c r="H22" s="75"/>
      <c r="I22" s="75"/>
      <c r="J22" s="92"/>
      <c r="N22" s="71"/>
      <c r="O22" s="72"/>
    </row>
    <row r="23" spans="2:15" x14ac:dyDescent="0.25">
      <c r="B23" s="91"/>
      <c r="C23" s="85"/>
      <c r="D23" s="85"/>
      <c r="E23" s="85"/>
      <c r="F23" s="25"/>
      <c r="G23" s="75"/>
      <c r="H23" s="75"/>
      <c r="I23" s="75"/>
      <c r="J23" s="92"/>
      <c r="N23" s="71"/>
      <c r="O23" s="72"/>
    </row>
    <row r="24" spans="2:15" x14ac:dyDescent="0.25">
      <c r="B24" s="91"/>
      <c r="C24" s="85"/>
      <c r="D24" s="85"/>
      <c r="E24" s="85"/>
      <c r="F24" s="25"/>
      <c r="G24" s="75"/>
      <c r="H24" s="75"/>
      <c r="I24" s="75"/>
      <c r="J24" s="92"/>
      <c r="N24" s="71"/>
      <c r="O24" s="72"/>
    </row>
    <row r="25" spans="2:15" x14ac:dyDescent="0.25">
      <c r="B25" s="91"/>
      <c r="C25" s="85"/>
      <c r="D25" s="85"/>
      <c r="E25" s="85"/>
      <c r="F25" s="25"/>
      <c r="G25" s="75"/>
      <c r="H25" s="75"/>
      <c r="I25" s="75"/>
      <c r="J25" s="92"/>
      <c r="N25" s="71"/>
      <c r="O25" s="72"/>
    </row>
    <row r="26" spans="2:15" x14ac:dyDescent="0.25">
      <c r="B26" s="91"/>
      <c r="C26" s="85"/>
      <c r="D26" s="85"/>
      <c r="E26" s="85"/>
      <c r="F26" s="25"/>
      <c r="G26" s="75"/>
      <c r="H26" s="75"/>
      <c r="I26" s="75"/>
      <c r="J26" s="92"/>
      <c r="N26" s="71"/>
      <c r="O26" s="72"/>
    </row>
    <row r="27" spans="2:15" x14ac:dyDescent="0.25">
      <c r="B27" s="91"/>
      <c r="C27" s="85"/>
      <c r="D27" s="85"/>
      <c r="E27" s="85"/>
      <c r="F27" s="25"/>
      <c r="G27" s="75"/>
      <c r="H27" s="75"/>
      <c r="I27" s="75"/>
      <c r="J27" s="92"/>
      <c r="N27" s="71"/>
      <c r="O27" s="72"/>
    </row>
    <row r="28" spans="2:15" x14ac:dyDescent="0.25">
      <c r="B28" s="91"/>
      <c r="C28" s="85"/>
      <c r="D28" s="85"/>
      <c r="E28" s="85"/>
      <c r="F28" s="25"/>
      <c r="G28" s="75"/>
      <c r="H28" s="75"/>
      <c r="I28" s="75"/>
      <c r="J28" s="92"/>
      <c r="N28" s="71"/>
      <c r="O28" s="72"/>
    </row>
    <row r="29" spans="2:15" x14ac:dyDescent="0.25">
      <c r="B29" s="91"/>
      <c r="C29" s="85"/>
      <c r="D29" s="85"/>
      <c r="E29" s="85"/>
      <c r="F29" s="25"/>
      <c r="G29" s="75"/>
      <c r="H29" s="75"/>
      <c r="I29" s="75"/>
      <c r="J29" s="92"/>
      <c r="N29" s="71"/>
      <c r="O29" s="72"/>
    </row>
    <row r="30" spans="2:15" x14ac:dyDescent="0.25">
      <c r="B30" s="91"/>
      <c r="C30" s="85"/>
      <c r="D30" s="85"/>
      <c r="E30" s="85"/>
      <c r="F30" s="25"/>
      <c r="G30" s="75"/>
      <c r="H30" s="75"/>
      <c r="I30" s="75"/>
      <c r="J30" s="92"/>
      <c r="N30" s="71"/>
      <c r="O30" s="72"/>
    </row>
    <row r="31" spans="2:15" x14ac:dyDescent="0.25">
      <c r="B31" s="91"/>
      <c r="C31" s="85"/>
      <c r="D31" s="85"/>
      <c r="E31" s="85"/>
      <c r="F31" s="25"/>
      <c r="G31" s="75"/>
      <c r="H31" s="75"/>
      <c r="I31" s="75"/>
      <c r="J31" s="92"/>
      <c r="N31" s="71"/>
      <c r="O31" s="72"/>
    </row>
    <row r="32" spans="2:15" x14ac:dyDescent="0.25">
      <c r="B32" s="91"/>
      <c r="C32" s="85"/>
      <c r="D32" s="85"/>
      <c r="E32" s="85"/>
      <c r="F32" s="25"/>
      <c r="G32" s="75"/>
      <c r="H32" s="75"/>
      <c r="I32" s="75"/>
      <c r="J32" s="92"/>
      <c r="N32" s="71"/>
      <c r="O32" s="72"/>
    </row>
    <row r="33" spans="2:15" x14ac:dyDescent="0.25">
      <c r="B33" s="91"/>
      <c r="C33" s="85"/>
      <c r="D33" s="85"/>
      <c r="E33" s="85"/>
      <c r="F33" s="25"/>
      <c r="G33" s="75"/>
      <c r="H33" s="75"/>
      <c r="I33" s="75"/>
      <c r="J33" s="94"/>
      <c r="N33" s="71"/>
      <c r="O33" s="72"/>
    </row>
    <row r="34" spans="2:15" x14ac:dyDescent="0.25">
      <c r="B34" s="91"/>
      <c r="C34" s="85"/>
      <c r="D34" s="85"/>
      <c r="E34" s="85"/>
      <c r="F34" s="25"/>
      <c r="G34" s="75"/>
      <c r="H34" s="75"/>
      <c r="I34" s="75"/>
      <c r="J34" s="92"/>
      <c r="N34" s="71"/>
      <c r="O34" s="72"/>
    </row>
    <row r="35" spans="2:15" x14ac:dyDescent="0.25">
      <c r="B35" s="91"/>
      <c r="C35" s="85"/>
      <c r="D35" s="85"/>
      <c r="E35" s="85"/>
      <c r="F35" s="25"/>
      <c r="G35" s="75"/>
      <c r="H35" s="75"/>
      <c r="I35" s="75"/>
      <c r="J35" s="92"/>
      <c r="N35" s="71"/>
      <c r="O35" s="72"/>
    </row>
    <row r="36" spans="2:15" x14ac:dyDescent="0.25">
      <c r="B36" s="91"/>
      <c r="C36" s="85"/>
      <c r="D36" s="85"/>
      <c r="E36" s="85"/>
      <c r="F36" s="25"/>
      <c r="G36" s="75"/>
      <c r="H36" s="75"/>
      <c r="I36" s="75"/>
      <c r="J36" s="92"/>
      <c r="N36" s="76"/>
      <c r="O36" s="72"/>
    </row>
    <row r="37" spans="2:15" ht="15.75" thickBot="1" x14ac:dyDescent="0.3">
      <c r="B37" s="91"/>
      <c r="C37" s="85"/>
      <c r="D37" s="85"/>
      <c r="E37" s="85"/>
      <c r="F37" s="25"/>
      <c r="G37" s="75"/>
      <c r="H37" s="75"/>
      <c r="I37" s="75"/>
      <c r="J37" s="92"/>
      <c r="N37" s="77"/>
      <c r="O37" s="78"/>
    </row>
    <row r="38" spans="2:15" ht="15.75" thickBot="1" x14ac:dyDescent="0.3">
      <c r="B38" s="91"/>
      <c r="C38" s="85"/>
      <c r="D38" s="85"/>
      <c r="E38" s="85"/>
      <c r="F38" s="25"/>
      <c r="G38" s="75"/>
      <c r="H38" s="75"/>
      <c r="I38" s="75"/>
      <c r="J38" s="92"/>
      <c r="N38" s="66" t="s">
        <v>17</v>
      </c>
      <c r="O38" s="67">
        <f>SUM(O4:O37)</f>
        <v>702245</v>
      </c>
    </row>
    <row r="39" spans="2:15" ht="15.75" thickBot="1" x14ac:dyDescent="0.3">
      <c r="B39" s="91"/>
      <c r="C39" s="85"/>
      <c r="D39" s="85"/>
      <c r="E39" s="85"/>
      <c r="F39" s="25"/>
      <c r="G39" s="75"/>
      <c r="H39" s="75"/>
      <c r="I39" s="75"/>
      <c r="J39" s="92"/>
    </row>
    <row r="40" spans="2:15" ht="15.75" thickBot="1" x14ac:dyDescent="0.3">
      <c r="B40" s="91"/>
      <c r="C40" s="85"/>
      <c r="D40" s="85"/>
      <c r="E40" s="85"/>
      <c r="F40" s="25"/>
      <c r="G40" s="75"/>
      <c r="H40" s="75"/>
      <c r="I40" s="75"/>
      <c r="J40" s="92"/>
      <c r="N40" s="66" t="s">
        <v>72</v>
      </c>
      <c r="O40" s="67">
        <f>Roma!Q2</f>
        <v>86492.307000000001</v>
      </c>
    </row>
    <row r="41" spans="2:15" ht="15.75" thickBot="1" x14ac:dyDescent="0.3">
      <c r="B41" s="91"/>
      <c r="C41" s="85"/>
      <c r="D41" s="85"/>
      <c r="E41" s="85"/>
      <c r="F41" s="25"/>
      <c r="G41" s="75"/>
      <c r="H41" s="75"/>
      <c r="I41" s="75"/>
      <c r="J41" s="92"/>
    </row>
    <row r="42" spans="2:15" ht="15.75" thickBot="1" x14ac:dyDescent="0.3">
      <c r="B42" s="91"/>
      <c r="C42" s="85"/>
      <c r="D42" s="85"/>
      <c r="E42" s="85"/>
      <c r="F42" s="25"/>
      <c r="G42" s="75"/>
      <c r="H42" s="75"/>
      <c r="I42" s="75"/>
      <c r="J42" s="92"/>
      <c r="N42" s="66" t="s">
        <v>73</v>
      </c>
      <c r="O42" s="67">
        <f>+Roma!R2</f>
        <v>778430.76300000004</v>
      </c>
    </row>
    <row r="43" spans="2:15" ht="15.75" thickBot="1" x14ac:dyDescent="0.3">
      <c r="B43" s="91"/>
      <c r="C43" s="85"/>
      <c r="D43" s="85"/>
      <c r="E43" s="85"/>
      <c r="F43" s="25"/>
      <c r="G43" s="75"/>
      <c r="H43" s="75"/>
      <c r="I43" s="75"/>
      <c r="J43" s="92"/>
    </row>
    <row r="44" spans="2:15" ht="15.75" thickBot="1" x14ac:dyDescent="0.3">
      <c r="B44" s="91"/>
      <c r="C44" s="85"/>
      <c r="D44" s="85"/>
      <c r="E44" s="85"/>
      <c r="F44" s="25"/>
      <c r="G44" s="75"/>
      <c r="H44" s="75"/>
      <c r="I44" s="75"/>
      <c r="J44" s="92"/>
      <c r="N44" s="66" t="s">
        <v>74</v>
      </c>
      <c r="O44" s="67">
        <f>+O42+O40-O38</f>
        <v>162678.07000000007</v>
      </c>
    </row>
    <row r="45" spans="2:15" x14ac:dyDescent="0.25">
      <c r="B45" s="91"/>
      <c r="C45" s="85"/>
      <c r="D45" s="85"/>
      <c r="E45" s="85"/>
      <c r="F45" s="25"/>
      <c r="G45" s="75"/>
      <c r="H45" s="75"/>
      <c r="I45" s="75"/>
      <c r="J45" s="92"/>
    </row>
    <row r="46" spans="2:15" x14ac:dyDescent="0.25">
      <c r="B46" s="91"/>
      <c r="C46" s="85"/>
      <c r="D46" s="85"/>
      <c r="E46" s="85"/>
      <c r="F46" s="25"/>
      <c r="G46" s="75"/>
      <c r="H46" s="75"/>
      <c r="I46" s="75"/>
      <c r="J46" s="92"/>
      <c r="O46" s="79"/>
    </row>
    <row r="47" spans="2:15" x14ac:dyDescent="0.25">
      <c r="B47" s="24"/>
      <c r="C47" s="25"/>
      <c r="D47" s="85"/>
      <c r="E47" s="25"/>
      <c r="F47" s="95"/>
      <c r="G47" s="75"/>
      <c r="H47" s="75"/>
      <c r="I47" s="75"/>
      <c r="J47" s="92"/>
    </row>
    <row r="48" spans="2:15" x14ac:dyDescent="0.25">
      <c r="B48" s="24"/>
      <c r="C48" s="25"/>
      <c r="D48" s="85"/>
      <c r="E48" s="25"/>
      <c r="F48" s="95"/>
      <c r="G48" s="75"/>
      <c r="H48" s="75"/>
      <c r="I48" s="75"/>
      <c r="J48" s="92"/>
      <c r="O48" s="80"/>
    </row>
    <row r="49" spans="2:16" x14ac:dyDescent="0.25">
      <c r="B49" s="24"/>
      <c r="C49" s="25"/>
      <c r="D49" s="85"/>
      <c r="E49" s="25"/>
      <c r="F49" s="95"/>
      <c r="G49" s="75"/>
      <c r="H49" s="75"/>
      <c r="I49" s="75"/>
      <c r="J49" s="92"/>
      <c r="O49" s="80"/>
    </row>
    <row r="50" spans="2:16" x14ac:dyDescent="0.25">
      <c r="B50" s="24"/>
      <c r="C50" s="25"/>
      <c r="D50" s="85"/>
      <c r="E50" s="25"/>
      <c r="F50" s="95"/>
      <c r="G50" s="75"/>
      <c r="H50" s="75"/>
      <c r="I50" s="75"/>
      <c r="J50" s="92"/>
      <c r="O50" s="80"/>
    </row>
    <row r="51" spans="2:16" x14ac:dyDescent="0.25">
      <c r="B51" s="24"/>
      <c r="C51" s="25"/>
      <c r="D51" s="85"/>
      <c r="E51" s="25"/>
      <c r="F51" s="95"/>
      <c r="G51" s="75"/>
      <c r="H51" s="75"/>
      <c r="I51" s="75"/>
      <c r="J51" s="92"/>
      <c r="O51" s="80"/>
      <c r="P51" s="80"/>
    </row>
    <row r="52" spans="2:16" x14ac:dyDescent="0.25">
      <c r="B52" s="24"/>
      <c r="C52" s="25"/>
      <c r="D52" s="85"/>
      <c r="E52" s="25"/>
      <c r="F52" s="95"/>
      <c r="G52" s="75"/>
      <c r="H52" s="75"/>
      <c r="I52" s="75"/>
      <c r="J52" s="92"/>
      <c r="O52" s="80"/>
      <c r="P52" s="80"/>
    </row>
    <row r="53" spans="2:16" x14ac:dyDescent="0.25">
      <c r="B53" s="24"/>
      <c r="C53" s="25"/>
      <c r="D53" s="85"/>
      <c r="E53" s="25"/>
      <c r="F53" s="95"/>
      <c r="G53" s="75"/>
      <c r="H53" s="75"/>
      <c r="I53" s="75"/>
      <c r="J53" s="92"/>
    </row>
    <row r="54" spans="2:16" x14ac:dyDescent="0.25">
      <c r="B54" s="24"/>
      <c r="C54" s="25"/>
      <c r="D54" s="85"/>
      <c r="E54" s="25"/>
      <c r="F54" s="95"/>
      <c r="G54" s="75"/>
      <c r="H54" s="75"/>
      <c r="I54" s="75"/>
      <c r="J54" s="92"/>
      <c r="O54" s="80"/>
      <c r="P54" s="80"/>
    </row>
    <row r="55" spans="2:16" x14ac:dyDescent="0.25">
      <c r="B55" s="24"/>
      <c r="C55" s="25"/>
      <c r="D55" s="85"/>
      <c r="E55" s="25"/>
      <c r="F55" s="95"/>
      <c r="G55" s="75"/>
      <c r="H55" s="75"/>
      <c r="I55" s="75"/>
      <c r="J55" s="92"/>
      <c r="O55" s="80"/>
      <c r="P55" s="80"/>
    </row>
    <row r="56" spans="2:16" x14ac:dyDescent="0.25">
      <c r="B56" s="24"/>
      <c r="C56" s="25"/>
      <c r="D56" s="85"/>
      <c r="E56" s="25"/>
      <c r="F56" s="95"/>
      <c r="G56" s="75"/>
      <c r="H56" s="75"/>
      <c r="I56" s="75"/>
      <c r="J56" s="92"/>
    </row>
    <row r="57" spans="2:16" x14ac:dyDescent="0.25">
      <c r="B57" s="24"/>
      <c r="C57" s="25"/>
      <c r="D57" s="85"/>
      <c r="E57" s="25"/>
      <c r="F57" s="95"/>
      <c r="G57" s="75"/>
      <c r="H57" s="75"/>
      <c r="I57" s="75"/>
      <c r="J57" s="92"/>
    </row>
    <row r="58" spans="2:16" x14ac:dyDescent="0.25">
      <c r="B58" s="24"/>
      <c r="C58" s="25"/>
      <c r="D58" s="85"/>
      <c r="E58" s="25"/>
      <c r="F58" s="95"/>
      <c r="G58" s="75"/>
      <c r="H58" s="75"/>
      <c r="I58" s="75"/>
      <c r="J58" s="92"/>
    </row>
    <row r="59" spans="2:16" x14ac:dyDescent="0.25">
      <c r="B59" s="24"/>
      <c r="C59" s="25"/>
      <c r="D59" s="85"/>
      <c r="E59" s="25"/>
      <c r="F59" s="95"/>
      <c r="G59" s="75"/>
      <c r="H59" s="75"/>
      <c r="I59" s="75"/>
      <c r="J59" s="92"/>
    </row>
    <row r="60" spans="2:16" x14ac:dyDescent="0.25">
      <c r="B60" s="24"/>
      <c r="C60" s="25"/>
      <c r="D60" s="85"/>
      <c r="E60" s="25"/>
      <c r="F60" s="95"/>
      <c r="G60" s="75"/>
      <c r="H60" s="75"/>
      <c r="I60" s="75"/>
      <c r="J60" s="92"/>
    </row>
    <row r="61" spans="2:16" x14ac:dyDescent="0.25">
      <c r="B61" s="24"/>
      <c r="C61" s="25"/>
      <c r="D61" s="85"/>
      <c r="E61" s="25"/>
      <c r="F61" s="95"/>
      <c r="G61" s="75"/>
      <c r="H61" s="75"/>
      <c r="I61" s="75"/>
      <c r="J61" s="92"/>
    </row>
    <row r="62" spans="2:16" x14ac:dyDescent="0.25">
      <c r="B62" s="24"/>
      <c r="C62" s="25"/>
      <c r="D62" s="85"/>
      <c r="E62" s="25"/>
      <c r="F62" s="95"/>
      <c r="G62" s="75"/>
      <c r="H62" s="75"/>
      <c r="I62" s="75"/>
      <c r="J62" s="92"/>
    </row>
    <row r="63" spans="2:16" x14ac:dyDescent="0.25">
      <c r="B63" s="24"/>
      <c r="C63" s="25"/>
      <c r="D63" s="85"/>
      <c r="E63" s="25"/>
      <c r="F63" s="95"/>
      <c r="G63" s="75"/>
      <c r="H63" s="75"/>
      <c r="I63" s="75"/>
      <c r="J63" s="92"/>
    </row>
    <row r="64" spans="2:16" x14ac:dyDescent="0.25">
      <c r="B64" s="24"/>
      <c r="C64" s="25"/>
      <c r="D64" s="85"/>
      <c r="E64" s="25"/>
      <c r="F64" s="95"/>
      <c r="G64" s="75"/>
      <c r="H64" s="75"/>
      <c r="I64" s="75"/>
      <c r="J64" s="92"/>
    </row>
    <row r="65" spans="2:10" x14ac:dyDescent="0.25">
      <c r="B65" s="24"/>
      <c r="C65" s="25"/>
      <c r="D65" s="85"/>
      <c r="E65" s="25"/>
      <c r="F65" s="95"/>
      <c r="G65" s="75"/>
      <c r="H65" s="75"/>
      <c r="I65" s="75"/>
      <c r="J65" s="92"/>
    </row>
    <row r="66" spans="2:10" x14ac:dyDescent="0.25">
      <c r="B66" s="24"/>
      <c r="C66" s="25"/>
      <c r="D66" s="85"/>
      <c r="E66" s="25"/>
      <c r="F66" s="95"/>
      <c r="G66" s="75"/>
      <c r="H66" s="75"/>
      <c r="I66" s="75"/>
      <c r="J66" s="92"/>
    </row>
    <row r="67" spans="2:10" x14ac:dyDescent="0.25">
      <c r="B67" s="24"/>
      <c r="C67" s="25"/>
      <c r="D67" s="85"/>
      <c r="E67" s="25"/>
      <c r="F67" s="95"/>
      <c r="G67" s="75"/>
      <c r="H67" s="75"/>
      <c r="I67" s="75"/>
      <c r="J67" s="92"/>
    </row>
    <row r="68" spans="2:10" x14ac:dyDescent="0.25">
      <c r="B68" s="24"/>
      <c r="C68" s="25"/>
      <c r="D68" s="85"/>
      <c r="E68" s="25"/>
      <c r="F68" s="95"/>
      <c r="G68" s="75"/>
      <c r="H68" s="75"/>
      <c r="I68" s="75"/>
      <c r="J68" s="92"/>
    </row>
    <row r="69" spans="2:10" x14ac:dyDescent="0.25">
      <c r="B69" s="24"/>
      <c r="C69" s="25"/>
      <c r="D69" s="85"/>
      <c r="E69" s="25"/>
      <c r="F69" s="95"/>
      <c r="G69" s="75"/>
      <c r="H69" s="75"/>
      <c r="I69" s="75"/>
      <c r="J69" s="92"/>
    </row>
    <row r="70" spans="2:10" x14ac:dyDescent="0.25">
      <c r="B70" s="24"/>
      <c r="C70" s="25"/>
      <c r="D70" s="85"/>
      <c r="E70" s="25"/>
      <c r="F70" s="95"/>
      <c r="G70" s="75"/>
      <c r="H70" s="75"/>
      <c r="I70" s="75"/>
      <c r="J70" s="92"/>
    </row>
    <row r="71" spans="2:10" x14ac:dyDescent="0.25">
      <c r="B71" s="24"/>
      <c r="C71" s="25"/>
      <c r="D71" s="85"/>
      <c r="E71" s="25"/>
      <c r="F71" s="95"/>
      <c r="G71" s="75"/>
      <c r="H71" s="75"/>
      <c r="I71" s="75"/>
      <c r="J71" s="92"/>
    </row>
    <row r="72" spans="2:10" x14ac:dyDescent="0.25">
      <c r="B72" s="24"/>
      <c r="C72" s="25"/>
      <c r="D72" s="85"/>
      <c r="E72" s="25"/>
      <c r="F72" s="95"/>
      <c r="G72" s="75"/>
      <c r="H72" s="75"/>
      <c r="I72" s="75"/>
      <c r="J72" s="92"/>
    </row>
    <row r="73" spans="2:10" x14ac:dyDescent="0.25">
      <c r="B73" s="24"/>
      <c r="C73" s="25"/>
      <c r="D73" s="85"/>
      <c r="E73" s="25"/>
      <c r="F73" s="95"/>
      <c r="G73" s="75"/>
      <c r="H73" s="75"/>
      <c r="I73" s="75"/>
      <c r="J73" s="98"/>
    </row>
    <row r="74" spans="2:10" x14ac:dyDescent="0.25">
      <c r="B74" s="24"/>
      <c r="C74" s="25"/>
      <c r="D74" s="85"/>
      <c r="E74" s="25"/>
      <c r="F74" s="95"/>
      <c r="G74" s="75"/>
      <c r="H74" s="75"/>
      <c r="I74" s="75"/>
      <c r="J74" s="92"/>
    </row>
    <row r="75" spans="2:10" x14ac:dyDescent="0.25">
      <c r="B75" s="24"/>
      <c r="C75" s="25"/>
      <c r="D75" s="85"/>
      <c r="E75" s="25"/>
      <c r="F75" s="95"/>
      <c r="G75" s="75"/>
      <c r="H75" s="75"/>
      <c r="I75" s="75"/>
      <c r="J75" s="98"/>
    </row>
    <row r="76" spans="2:10" x14ac:dyDescent="0.25">
      <c r="B76" s="24"/>
      <c r="C76" s="25"/>
      <c r="D76" s="85"/>
      <c r="E76" s="25"/>
      <c r="F76" s="95"/>
      <c r="G76" s="75"/>
      <c r="H76" s="75"/>
      <c r="I76" s="75"/>
      <c r="J76" s="92"/>
    </row>
    <row r="77" spans="2:10" x14ac:dyDescent="0.25">
      <c r="B77" s="24"/>
      <c r="C77" s="25"/>
      <c r="D77" s="85"/>
      <c r="E77" s="25"/>
      <c r="F77" s="95"/>
      <c r="G77" s="75"/>
      <c r="H77" s="75"/>
      <c r="I77" s="75"/>
      <c r="J77" s="92"/>
    </row>
    <row r="78" spans="2:10" x14ac:dyDescent="0.25">
      <c r="B78" s="24"/>
      <c r="C78" s="25"/>
      <c r="D78" s="85"/>
      <c r="E78" s="25"/>
      <c r="F78" s="95"/>
      <c r="G78" s="75"/>
      <c r="H78" s="75"/>
      <c r="I78" s="75"/>
      <c r="J78" s="92"/>
    </row>
    <row r="79" spans="2:10" x14ac:dyDescent="0.25">
      <c r="B79" s="24"/>
      <c r="C79" s="25"/>
      <c r="D79" s="85"/>
      <c r="E79" s="25"/>
      <c r="F79" s="95"/>
      <c r="G79" s="75"/>
      <c r="H79" s="75"/>
      <c r="I79" s="75"/>
      <c r="J79" s="92"/>
    </row>
    <row r="80" spans="2:10" x14ac:dyDescent="0.25">
      <c r="B80" s="24"/>
      <c r="C80" s="25"/>
      <c r="D80" s="85"/>
      <c r="E80" s="25"/>
      <c r="F80" s="95"/>
      <c r="G80" s="75"/>
      <c r="H80" s="75"/>
      <c r="I80" s="75"/>
      <c r="J80" s="92"/>
    </row>
    <row r="81" spans="2:10" x14ac:dyDescent="0.25">
      <c r="B81" s="24"/>
      <c r="C81" s="25"/>
      <c r="D81" s="85"/>
      <c r="E81" s="25"/>
      <c r="F81" s="95"/>
      <c r="G81" s="75"/>
      <c r="H81" s="75"/>
      <c r="I81" s="75"/>
      <c r="J81" s="92"/>
    </row>
    <row r="82" spans="2:10" x14ac:dyDescent="0.25">
      <c r="B82" s="24"/>
      <c r="C82" s="25"/>
      <c r="D82" s="85"/>
      <c r="E82" s="25"/>
      <c r="F82" s="95"/>
      <c r="G82" s="75"/>
      <c r="H82" s="75"/>
      <c r="I82" s="75"/>
      <c r="J82" s="92"/>
    </row>
    <row r="83" spans="2:10" x14ac:dyDescent="0.25">
      <c r="B83" s="24"/>
      <c r="C83" s="25"/>
      <c r="D83" s="85"/>
      <c r="E83" s="25"/>
      <c r="F83" s="95"/>
      <c r="G83" s="75"/>
      <c r="H83" s="75"/>
      <c r="I83" s="75"/>
      <c r="J83" s="92"/>
    </row>
    <row r="84" spans="2:10" x14ac:dyDescent="0.25">
      <c r="B84" s="24"/>
      <c r="C84" s="25"/>
      <c r="D84" s="85"/>
      <c r="E84" s="25"/>
      <c r="F84" s="95"/>
      <c r="G84" s="75"/>
      <c r="H84" s="75"/>
      <c r="I84" s="75"/>
      <c r="J84" s="92"/>
    </row>
    <row r="85" spans="2:10" x14ac:dyDescent="0.25">
      <c r="B85" s="24"/>
      <c r="C85" s="25"/>
      <c r="D85" s="85"/>
      <c r="E85" s="25"/>
      <c r="F85" s="95"/>
      <c r="G85" s="75"/>
      <c r="H85" s="75"/>
      <c r="I85" s="75"/>
      <c r="J85" s="92"/>
    </row>
    <row r="86" spans="2:10" x14ac:dyDescent="0.25">
      <c r="B86" s="24"/>
      <c r="C86" s="25"/>
      <c r="D86" s="85"/>
      <c r="E86" s="25"/>
      <c r="F86" s="95"/>
      <c r="G86" s="75"/>
      <c r="H86" s="75"/>
      <c r="I86" s="75"/>
      <c r="J86" s="92"/>
    </row>
    <row r="87" spans="2:10" x14ac:dyDescent="0.25">
      <c r="B87" s="24"/>
      <c r="C87" s="25"/>
      <c r="D87" s="85"/>
      <c r="E87" s="25"/>
      <c r="F87" s="95"/>
      <c r="G87" s="75"/>
      <c r="H87" s="75"/>
      <c r="I87" s="75"/>
      <c r="J87" s="92"/>
    </row>
    <row r="88" spans="2:10" x14ac:dyDescent="0.25">
      <c r="B88" s="24"/>
      <c r="C88" s="25"/>
      <c r="D88" s="85"/>
      <c r="E88" s="25"/>
      <c r="F88" s="95"/>
      <c r="G88" s="75"/>
      <c r="H88" s="75"/>
      <c r="I88" s="75"/>
      <c r="J88" s="92"/>
    </row>
    <row r="89" spans="2:10" x14ac:dyDescent="0.25">
      <c r="B89" s="24"/>
      <c r="C89" s="25"/>
      <c r="D89" s="85"/>
      <c r="E89" s="25"/>
      <c r="F89" s="95"/>
      <c r="G89" s="100"/>
      <c r="H89" s="75"/>
      <c r="I89" s="75"/>
      <c r="J89" s="92"/>
    </row>
    <row r="90" spans="2:10" x14ac:dyDescent="0.25">
      <c r="B90" s="24"/>
      <c r="C90" s="25"/>
      <c r="D90" s="85"/>
      <c r="E90" s="25"/>
      <c r="F90" s="95"/>
      <c r="G90" s="100"/>
      <c r="H90" s="75"/>
      <c r="I90" s="75"/>
      <c r="J90" s="92"/>
    </row>
    <row r="91" spans="2:10" x14ac:dyDescent="0.25">
      <c r="B91" s="24"/>
      <c r="C91" s="25"/>
      <c r="D91" s="85"/>
      <c r="E91" s="25"/>
      <c r="F91" s="95"/>
      <c r="G91" s="100"/>
      <c r="H91" s="75"/>
      <c r="I91" s="75"/>
      <c r="J91" s="92"/>
    </row>
    <row r="92" spans="2:10" x14ac:dyDescent="0.25">
      <c r="B92" s="24"/>
      <c r="C92" s="85"/>
      <c r="D92" s="85"/>
      <c r="E92" s="25"/>
      <c r="F92" s="95"/>
      <c r="G92" s="75"/>
      <c r="H92" s="75"/>
      <c r="I92" s="75"/>
      <c r="J92" s="92"/>
    </row>
    <row r="93" spans="2:10" x14ac:dyDescent="0.25">
      <c r="B93" s="24"/>
      <c r="C93" s="85"/>
      <c r="D93" s="85"/>
      <c r="E93" s="25"/>
      <c r="F93" s="95"/>
      <c r="G93" s="100"/>
      <c r="H93" s="75"/>
      <c r="I93" s="75"/>
      <c r="J93" s="92"/>
    </row>
    <row r="94" spans="2:10" x14ac:dyDescent="0.25">
      <c r="B94" s="24"/>
      <c r="C94" s="85"/>
      <c r="D94" s="85"/>
      <c r="E94" s="25"/>
      <c r="F94" s="95"/>
      <c r="G94" s="100"/>
      <c r="H94" s="75"/>
      <c r="I94" s="75"/>
      <c r="J94" s="92"/>
    </row>
    <row r="95" spans="2:10" x14ac:dyDescent="0.25">
      <c r="B95" s="24"/>
      <c r="C95" s="85"/>
      <c r="D95" s="85"/>
      <c r="E95" s="25"/>
      <c r="F95" s="95"/>
      <c r="G95" s="100"/>
      <c r="H95" s="75"/>
      <c r="I95" s="75"/>
      <c r="J95" s="92"/>
    </row>
    <row r="96" spans="2:10" x14ac:dyDescent="0.25">
      <c r="B96" s="24"/>
      <c r="C96" s="85"/>
      <c r="D96" s="85"/>
      <c r="E96" s="25"/>
      <c r="F96" s="95"/>
      <c r="G96" s="100"/>
      <c r="H96" s="75"/>
      <c r="I96" s="75"/>
      <c r="J96" s="92"/>
    </row>
    <row r="97" spans="2:10" x14ac:dyDescent="0.25">
      <c r="B97" s="91"/>
      <c r="C97" s="85"/>
      <c r="D97" s="85"/>
      <c r="E97" s="85"/>
      <c r="F97" s="25"/>
      <c r="G97" s="75"/>
      <c r="H97" s="75"/>
      <c r="I97" s="75"/>
      <c r="J97" s="94"/>
    </row>
    <row r="98" spans="2:10" x14ac:dyDescent="0.25">
      <c r="B98" s="91"/>
      <c r="C98" s="85"/>
      <c r="D98" s="85"/>
      <c r="E98" s="85"/>
      <c r="F98" s="25"/>
      <c r="G98" s="75"/>
      <c r="H98" s="75"/>
      <c r="I98" s="75"/>
      <c r="J98" s="92"/>
    </row>
    <row r="99" spans="2:10" x14ac:dyDescent="0.25">
      <c r="B99" s="91"/>
      <c r="C99" s="85"/>
      <c r="D99" s="85"/>
      <c r="E99" s="85"/>
      <c r="F99" s="25"/>
      <c r="G99" s="75"/>
      <c r="H99" s="75"/>
      <c r="I99" s="75"/>
      <c r="J99" s="92"/>
    </row>
    <row r="100" spans="2:10" x14ac:dyDescent="0.25">
      <c r="B100" s="91"/>
      <c r="C100" s="85"/>
      <c r="D100" s="85"/>
      <c r="E100" s="85"/>
      <c r="F100" s="25"/>
      <c r="G100" s="75"/>
      <c r="H100" s="75"/>
      <c r="I100" s="75"/>
      <c r="J100" s="92"/>
    </row>
    <row r="101" spans="2:10" x14ac:dyDescent="0.25">
      <c r="B101" s="91"/>
      <c r="C101" s="85"/>
      <c r="D101" s="85"/>
      <c r="E101" s="85"/>
      <c r="F101" s="25"/>
      <c r="G101" s="75"/>
      <c r="H101" s="75"/>
      <c r="I101" s="75"/>
      <c r="J101" s="92"/>
    </row>
    <row r="102" spans="2:10" x14ac:dyDescent="0.25">
      <c r="B102" s="91"/>
      <c r="C102" s="85"/>
      <c r="D102" s="85"/>
      <c r="E102" s="85"/>
      <c r="F102" s="25"/>
      <c r="G102" s="75"/>
      <c r="H102" s="75"/>
      <c r="I102" s="75"/>
      <c r="J102" s="94"/>
    </row>
    <row r="103" spans="2:10" x14ac:dyDescent="0.25">
      <c r="B103" s="91"/>
      <c r="C103" s="85"/>
      <c r="D103" s="85"/>
      <c r="E103" s="85"/>
      <c r="F103" s="25"/>
      <c r="G103" s="75"/>
      <c r="H103" s="75"/>
      <c r="I103" s="75"/>
      <c r="J103" s="92"/>
    </row>
    <row r="104" spans="2:10" x14ac:dyDescent="0.25">
      <c r="B104" s="91"/>
      <c r="C104" s="85"/>
      <c r="D104" s="85"/>
      <c r="E104" s="85"/>
      <c r="F104" s="25"/>
      <c r="G104" s="75"/>
      <c r="H104" s="75"/>
      <c r="I104" s="75"/>
      <c r="J104" s="92"/>
    </row>
    <row r="105" spans="2:10" x14ac:dyDescent="0.25">
      <c r="B105" s="91"/>
      <c r="C105" s="85"/>
      <c r="D105" s="85"/>
      <c r="E105" s="85"/>
      <c r="F105" s="25"/>
      <c r="G105" s="75"/>
      <c r="H105" s="75"/>
      <c r="I105" s="75"/>
      <c r="J105" s="94"/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F0943-67B8-4148-A349-2B4FA39AA366}">
  <dimension ref="B1:P105"/>
  <sheetViews>
    <sheetView topLeftCell="H1" workbookViewId="0">
      <selection activeCell="N5" sqref="N5"/>
    </sheetView>
  </sheetViews>
  <sheetFormatPr baseColWidth="10" defaultColWidth="11.42578125" defaultRowHeight="15" x14ac:dyDescent="0.25"/>
  <cols>
    <col min="1" max="1" width="2.85546875" style="47" customWidth="1"/>
    <col min="2" max="3" width="11.42578125" style="47"/>
    <col min="4" max="4" width="14.140625" style="47" customWidth="1"/>
    <col min="5" max="5" width="17.7109375" style="47" customWidth="1"/>
    <col min="6" max="6" width="9.5703125" style="1" bestFit="1" customWidth="1"/>
    <col min="7" max="7" width="11.42578125" style="48"/>
    <col min="8" max="8" width="15.5703125" style="48" bestFit="1" customWidth="1"/>
    <col min="9" max="9" width="24.7109375" style="48" bestFit="1" customWidth="1"/>
    <col min="10" max="11" width="16" style="47" bestFit="1" customWidth="1"/>
    <col min="12" max="12" width="15.42578125" style="47" customWidth="1"/>
    <col min="13" max="13" width="2.5703125" style="47" customWidth="1"/>
    <col min="14" max="14" width="21.5703125" style="47" customWidth="1"/>
    <col min="15" max="15" width="16" style="47" bestFit="1" customWidth="1"/>
    <col min="16" max="16" width="13.7109375" style="47" customWidth="1"/>
    <col min="17" max="17" width="8.28515625" style="47" customWidth="1"/>
    <col min="18" max="16384" width="11.42578125" style="47"/>
  </cols>
  <sheetData>
    <row r="1" spans="2:16" ht="16.5" thickBot="1" x14ac:dyDescent="0.3">
      <c r="B1" s="46" t="s">
        <v>35</v>
      </c>
      <c r="I1" s="139">
        <f>I2/(F2*17)</f>
        <v>14.937611408199643</v>
      </c>
      <c r="J1" s="140" t="s">
        <v>36</v>
      </c>
    </row>
    <row r="2" spans="2:16" ht="16.5" thickBot="1" x14ac:dyDescent="0.3">
      <c r="C2" s="144" t="s">
        <v>17</v>
      </c>
      <c r="F2" s="145">
        <f>SUM(F4:F390)</f>
        <v>33</v>
      </c>
      <c r="G2" s="146">
        <f>I2/F2</f>
        <v>253.93939393939394</v>
      </c>
      <c r="H2" s="147">
        <f>SUM(H4:H390)</f>
        <v>0</v>
      </c>
      <c r="I2" s="53">
        <f>SUM(I4:I390)</f>
        <v>8380</v>
      </c>
      <c r="J2" s="148">
        <f>O38</f>
        <v>5980</v>
      </c>
      <c r="K2" s="55">
        <f>O44</f>
        <v>2400</v>
      </c>
      <c r="L2" s="56" t="s">
        <v>37</v>
      </c>
      <c r="O2" s="46" t="s">
        <v>38</v>
      </c>
    </row>
    <row r="3" spans="2:16" ht="15.75" thickBot="1" x14ac:dyDescent="0.3">
      <c r="B3" s="151" t="s">
        <v>1</v>
      </c>
      <c r="C3" s="152" t="s">
        <v>2</v>
      </c>
      <c r="D3" s="152" t="s">
        <v>39</v>
      </c>
      <c r="E3" s="152" t="s">
        <v>4</v>
      </c>
      <c r="F3" s="153" t="s">
        <v>40</v>
      </c>
      <c r="G3" s="154" t="s">
        <v>10</v>
      </c>
      <c r="H3" s="155" t="s">
        <v>13</v>
      </c>
      <c r="I3" s="156" t="s">
        <v>41</v>
      </c>
      <c r="J3" s="67" t="s">
        <v>42</v>
      </c>
      <c r="K3" s="143">
        <v>0</v>
      </c>
      <c r="L3" s="56" t="s">
        <v>43</v>
      </c>
      <c r="N3" s="66" t="s">
        <v>1</v>
      </c>
      <c r="O3" s="67" t="s">
        <v>41</v>
      </c>
    </row>
    <row r="4" spans="2:16" ht="15.75" thickBot="1" x14ac:dyDescent="0.3">
      <c r="B4" s="149">
        <f>Morrón!B4</f>
        <v>46139</v>
      </c>
      <c r="C4" s="150">
        <f>Morrón!C4</f>
        <v>24</v>
      </c>
      <c r="D4" s="150" t="s">
        <v>80</v>
      </c>
      <c r="E4" s="150" t="str">
        <f>Morrón!E4</f>
        <v>Samuel Cuadras</v>
      </c>
      <c r="F4" s="19">
        <f>Morrón!G4</f>
        <v>10</v>
      </c>
      <c r="G4" s="84">
        <f>Morrón!K4</f>
        <v>240</v>
      </c>
      <c r="H4" s="84">
        <v>0</v>
      </c>
      <c r="I4" s="84">
        <f t="shared" ref="I4:I12" si="0">F4*G4-H4</f>
        <v>2400</v>
      </c>
      <c r="J4" s="157" t="s">
        <v>54</v>
      </c>
      <c r="K4" s="142">
        <f>[1]VENTAS!R2</f>
        <v>691969.5</v>
      </c>
      <c r="L4" s="56" t="s">
        <v>46</v>
      </c>
      <c r="N4" s="69">
        <v>46154</v>
      </c>
      <c r="O4" s="70">
        <v>5980</v>
      </c>
    </row>
    <row r="5" spans="2:16" x14ac:dyDescent="0.25">
      <c r="B5" s="176">
        <f>Morrón!B5</f>
        <v>46151</v>
      </c>
      <c r="C5" s="177">
        <f>Morrón!C5</f>
        <v>40</v>
      </c>
      <c r="D5" s="113" t="s">
        <v>92</v>
      </c>
      <c r="E5" s="177" t="str">
        <f>Morrón!E5</f>
        <v>Mayojoa</v>
      </c>
      <c r="F5" s="178">
        <f>Morrón!G5</f>
        <v>23</v>
      </c>
      <c r="G5" s="111">
        <f>Morrón!K5</f>
        <v>260</v>
      </c>
      <c r="H5" s="111">
        <v>0</v>
      </c>
      <c r="I5" s="111">
        <f t="shared" ref="I5" si="1">F5*G5-H5</f>
        <v>5980</v>
      </c>
      <c r="J5" s="179" t="s">
        <v>45</v>
      </c>
      <c r="N5" s="71"/>
      <c r="O5" s="72"/>
      <c r="P5" s="141"/>
    </row>
    <row r="6" spans="2:16" x14ac:dyDescent="0.25">
      <c r="B6" s="91"/>
      <c r="C6" s="85"/>
      <c r="D6" s="85"/>
      <c r="E6" s="85"/>
      <c r="F6" s="25"/>
      <c r="G6" s="75"/>
      <c r="H6" s="84">
        <v>0</v>
      </c>
      <c r="I6" s="75">
        <f t="shared" si="0"/>
        <v>0</v>
      </c>
      <c r="J6" s="92"/>
      <c r="N6" s="71"/>
      <c r="O6" s="72"/>
    </row>
    <row r="7" spans="2:16" x14ac:dyDescent="0.25">
      <c r="B7" s="91"/>
      <c r="C7" s="85"/>
      <c r="D7" s="85"/>
      <c r="E7" s="85"/>
      <c r="F7" s="25"/>
      <c r="G7" s="75"/>
      <c r="H7" s="84">
        <v>0</v>
      </c>
      <c r="I7" s="75">
        <f t="shared" si="0"/>
        <v>0</v>
      </c>
      <c r="J7" s="92"/>
      <c r="K7" s="73"/>
      <c r="N7" s="71"/>
      <c r="O7" s="72"/>
    </row>
    <row r="8" spans="2:16" x14ac:dyDescent="0.25">
      <c r="B8" s="91"/>
      <c r="C8" s="85"/>
      <c r="D8" s="85"/>
      <c r="E8" s="85"/>
      <c r="F8" s="25"/>
      <c r="G8" s="75"/>
      <c r="H8" s="84">
        <v>0</v>
      </c>
      <c r="I8" s="75">
        <f>F8*G8-H8</f>
        <v>0</v>
      </c>
      <c r="J8" s="94"/>
      <c r="K8" s="73"/>
      <c r="N8" s="71"/>
      <c r="O8" s="72"/>
    </row>
    <row r="9" spans="2:16" x14ac:dyDescent="0.25">
      <c r="B9" s="91"/>
      <c r="C9" s="85"/>
      <c r="D9" s="85"/>
      <c r="E9" s="85"/>
      <c r="F9" s="25"/>
      <c r="G9" s="75"/>
      <c r="H9" s="84">
        <v>0</v>
      </c>
      <c r="I9" s="75">
        <f t="shared" si="0"/>
        <v>0</v>
      </c>
      <c r="J9" s="92"/>
      <c r="K9" s="73"/>
      <c r="N9" s="71"/>
      <c r="O9" s="72"/>
    </row>
    <row r="10" spans="2:16" x14ac:dyDescent="0.25">
      <c r="B10" s="91"/>
      <c r="C10" s="85"/>
      <c r="D10" s="85"/>
      <c r="E10" s="85"/>
      <c r="F10" s="25"/>
      <c r="G10" s="75"/>
      <c r="H10" s="84">
        <v>0</v>
      </c>
      <c r="I10" s="75">
        <f t="shared" si="0"/>
        <v>0</v>
      </c>
      <c r="J10" s="92"/>
      <c r="K10" s="73"/>
      <c r="N10" s="71"/>
      <c r="O10" s="72"/>
    </row>
    <row r="11" spans="2:16" x14ac:dyDescent="0.25">
      <c r="B11" s="91"/>
      <c r="C11" s="85"/>
      <c r="D11" s="85"/>
      <c r="E11" s="85"/>
      <c r="F11" s="25"/>
      <c r="G11" s="75"/>
      <c r="H11" s="84">
        <v>0</v>
      </c>
      <c r="I11" s="75">
        <f t="shared" si="0"/>
        <v>0</v>
      </c>
      <c r="J11" s="94"/>
      <c r="K11" s="73"/>
      <c r="L11" s="79"/>
      <c r="N11" s="71"/>
      <c r="O11" s="72"/>
    </row>
    <row r="12" spans="2:16" x14ac:dyDescent="0.25">
      <c r="B12" s="91"/>
      <c r="C12" s="85"/>
      <c r="D12" s="85"/>
      <c r="E12" s="85"/>
      <c r="F12" s="25"/>
      <c r="G12" s="75"/>
      <c r="H12" s="84">
        <v>0</v>
      </c>
      <c r="I12" s="75">
        <f t="shared" si="0"/>
        <v>0</v>
      </c>
      <c r="J12" s="92"/>
      <c r="K12" s="73"/>
      <c r="N12" s="71"/>
      <c r="O12" s="72"/>
    </row>
    <row r="13" spans="2:16" x14ac:dyDescent="0.25">
      <c r="B13" s="91"/>
      <c r="C13" s="85"/>
      <c r="D13" s="85"/>
      <c r="E13" s="85"/>
      <c r="F13" s="25"/>
      <c r="G13" s="75"/>
      <c r="H13" s="84">
        <v>0</v>
      </c>
      <c r="I13" s="75">
        <f>F13*G13-H13</f>
        <v>0</v>
      </c>
      <c r="J13" s="94"/>
      <c r="K13" s="73"/>
      <c r="N13" s="71"/>
      <c r="O13" s="72"/>
    </row>
    <row r="14" spans="2:16" x14ac:dyDescent="0.25">
      <c r="B14" s="91"/>
      <c r="C14" s="85"/>
      <c r="D14" s="85"/>
      <c r="E14" s="85"/>
      <c r="F14" s="25"/>
      <c r="G14" s="75"/>
      <c r="H14" s="84">
        <v>0</v>
      </c>
      <c r="I14" s="75">
        <f t="shared" ref="I14:I18" si="2">F14*G14-H14</f>
        <v>0</v>
      </c>
      <c r="J14" s="92"/>
      <c r="K14" s="73"/>
      <c r="L14" s="74"/>
      <c r="M14" s="74"/>
      <c r="N14" s="71"/>
      <c r="O14" s="72"/>
    </row>
    <row r="15" spans="2:16" x14ac:dyDescent="0.25">
      <c r="B15" s="91"/>
      <c r="C15" s="85"/>
      <c r="D15" s="85"/>
      <c r="E15" s="85"/>
      <c r="F15" s="25"/>
      <c r="G15" s="75"/>
      <c r="H15" s="84">
        <v>0</v>
      </c>
      <c r="I15" s="75">
        <f t="shared" si="2"/>
        <v>0</v>
      </c>
      <c r="J15" s="92"/>
      <c r="K15" s="73"/>
      <c r="L15" s="74"/>
      <c r="M15" s="74"/>
      <c r="N15" s="71"/>
      <c r="O15" s="72"/>
    </row>
    <row r="16" spans="2:16" x14ac:dyDescent="0.25">
      <c r="B16" s="91"/>
      <c r="C16" s="85"/>
      <c r="D16" s="85"/>
      <c r="E16" s="85"/>
      <c r="F16" s="25"/>
      <c r="G16" s="75"/>
      <c r="H16" s="84">
        <v>0</v>
      </c>
      <c r="I16" s="75">
        <f t="shared" si="2"/>
        <v>0</v>
      </c>
      <c r="J16" s="94"/>
      <c r="N16" s="71"/>
      <c r="O16" s="72"/>
    </row>
    <row r="17" spans="2:15" x14ac:dyDescent="0.25">
      <c r="B17" s="91"/>
      <c r="C17" s="85"/>
      <c r="D17" s="85"/>
      <c r="E17" s="85"/>
      <c r="F17" s="25"/>
      <c r="G17" s="75"/>
      <c r="H17" s="84">
        <v>0</v>
      </c>
      <c r="I17" s="75">
        <f t="shared" si="2"/>
        <v>0</v>
      </c>
      <c r="J17" s="94"/>
      <c r="N17" s="71"/>
      <c r="O17" s="72"/>
    </row>
    <row r="18" spans="2:15" x14ac:dyDescent="0.25">
      <c r="B18" s="91"/>
      <c r="C18" s="85"/>
      <c r="D18" s="85"/>
      <c r="E18" s="85"/>
      <c r="F18" s="25"/>
      <c r="G18" s="75"/>
      <c r="H18" s="84">
        <v>0</v>
      </c>
      <c r="I18" s="75">
        <f t="shared" si="2"/>
        <v>0</v>
      </c>
      <c r="J18" s="92"/>
      <c r="N18" s="71"/>
      <c r="O18" s="72"/>
    </row>
    <row r="19" spans="2:15" x14ac:dyDescent="0.25">
      <c r="B19" s="91"/>
      <c r="C19" s="85"/>
      <c r="D19" s="85"/>
      <c r="E19" s="85"/>
      <c r="F19" s="25"/>
      <c r="G19" s="75"/>
      <c r="H19" s="75"/>
      <c r="I19" s="75"/>
      <c r="J19" s="94"/>
      <c r="N19" s="71"/>
      <c r="O19" s="72"/>
    </row>
    <row r="20" spans="2:15" x14ac:dyDescent="0.25">
      <c r="B20" s="91"/>
      <c r="C20" s="85"/>
      <c r="D20" s="85"/>
      <c r="E20" s="85"/>
      <c r="F20" s="25"/>
      <c r="G20" s="75"/>
      <c r="H20" s="75"/>
      <c r="I20" s="75"/>
      <c r="J20" s="92"/>
      <c r="N20" s="71"/>
      <c r="O20" s="72"/>
    </row>
    <row r="21" spans="2:15" x14ac:dyDescent="0.25">
      <c r="B21" s="91"/>
      <c r="C21" s="85"/>
      <c r="D21" s="85"/>
      <c r="E21" s="85"/>
      <c r="F21" s="25"/>
      <c r="G21" s="75"/>
      <c r="H21" s="75"/>
      <c r="I21" s="75"/>
      <c r="J21" s="92"/>
      <c r="N21" s="71"/>
      <c r="O21" s="72"/>
    </row>
    <row r="22" spans="2:15" x14ac:dyDescent="0.25">
      <c r="B22" s="91"/>
      <c r="C22" s="85"/>
      <c r="D22" s="85"/>
      <c r="E22" s="85"/>
      <c r="F22" s="25"/>
      <c r="G22" s="75"/>
      <c r="H22" s="75"/>
      <c r="I22" s="75"/>
      <c r="J22" s="92"/>
      <c r="N22" s="71"/>
      <c r="O22" s="72"/>
    </row>
    <row r="23" spans="2:15" x14ac:dyDescent="0.25">
      <c r="B23" s="91"/>
      <c r="C23" s="85"/>
      <c r="D23" s="85"/>
      <c r="E23" s="85"/>
      <c r="F23" s="25"/>
      <c r="G23" s="75"/>
      <c r="H23" s="75"/>
      <c r="I23" s="75"/>
      <c r="J23" s="92"/>
      <c r="N23" s="71"/>
      <c r="O23" s="72"/>
    </row>
    <row r="24" spans="2:15" x14ac:dyDescent="0.25">
      <c r="B24" s="91"/>
      <c r="C24" s="85"/>
      <c r="D24" s="85"/>
      <c r="E24" s="85"/>
      <c r="F24" s="25"/>
      <c r="G24" s="75"/>
      <c r="H24" s="75"/>
      <c r="I24" s="75"/>
      <c r="J24" s="92"/>
      <c r="N24" s="71"/>
      <c r="O24" s="72"/>
    </row>
    <row r="25" spans="2:15" x14ac:dyDescent="0.25">
      <c r="B25" s="91"/>
      <c r="C25" s="85"/>
      <c r="D25" s="85"/>
      <c r="E25" s="85"/>
      <c r="F25" s="25"/>
      <c r="G25" s="75"/>
      <c r="H25" s="75"/>
      <c r="I25" s="75"/>
      <c r="J25" s="92"/>
      <c r="N25" s="71"/>
      <c r="O25" s="72"/>
    </row>
    <row r="26" spans="2:15" x14ac:dyDescent="0.25">
      <c r="B26" s="91"/>
      <c r="C26" s="85"/>
      <c r="D26" s="85"/>
      <c r="E26" s="85"/>
      <c r="F26" s="25"/>
      <c r="G26" s="75"/>
      <c r="H26" s="75"/>
      <c r="I26" s="75"/>
      <c r="J26" s="92"/>
      <c r="N26" s="71"/>
      <c r="O26" s="72"/>
    </row>
    <row r="27" spans="2:15" x14ac:dyDescent="0.25">
      <c r="B27" s="91"/>
      <c r="C27" s="85"/>
      <c r="D27" s="85"/>
      <c r="E27" s="85"/>
      <c r="F27" s="25"/>
      <c r="G27" s="75"/>
      <c r="H27" s="75"/>
      <c r="I27" s="75"/>
      <c r="J27" s="92"/>
      <c r="N27" s="71"/>
      <c r="O27" s="72"/>
    </row>
    <row r="28" spans="2:15" x14ac:dyDescent="0.25">
      <c r="B28" s="91"/>
      <c r="C28" s="85"/>
      <c r="D28" s="85"/>
      <c r="E28" s="85"/>
      <c r="F28" s="25"/>
      <c r="G28" s="75"/>
      <c r="H28" s="75"/>
      <c r="I28" s="75"/>
      <c r="J28" s="92"/>
      <c r="N28" s="71"/>
      <c r="O28" s="72"/>
    </row>
    <row r="29" spans="2:15" x14ac:dyDescent="0.25">
      <c r="B29" s="91"/>
      <c r="C29" s="85"/>
      <c r="D29" s="85"/>
      <c r="E29" s="85"/>
      <c r="F29" s="25"/>
      <c r="G29" s="75"/>
      <c r="H29" s="75"/>
      <c r="I29" s="75"/>
      <c r="J29" s="92"/>
      <c r="N29" s="71"/>
      <c r="O29" s="72"/>
    </row>
    <row r="30" spans="2:15" x14ac:dyDescent="0.25">
      <c r="B30" s="91"/>
      <c r="C30" s="85"/>
      <c r="D30" s="85"/>
      <c r="E30" s="85"/>
      <c r="F30" s="25"/>
      <c r="G30" s="75"/>
      <c r="H30" s="75"/>
      <c r="I30" s="75"/>
      <c r="J30" s="92"/>
      <c r="N30" s="71"/>
      <c r="O30" s="72"/>
    </row>
    <row r="31" spans="2:15" x14ac:dyDescent="0.25">
      <c r="B31" s="91"/>
      <c r="C31" s="85"/>
      <c r="D31" s="85"/>
      <c r="E31" s="85"/>
      <c r="F31" s="25"/>
      <c r="G31" s="75"/>
      <c r="H31" s="75"/>
      <c r="I31" s="75"/>
      <c r="J31" s="92"/>
      <c r="N31" s="71"/>
      <c r="O31" s="72"/>
    </row>
    <row r="32" spans="2:15" x14ac:dyDescent="0.25">
      <c r="B32" s="91"/>
      <c r="C32" s="85"/>
      <c r="D32" s="85"/>
      <c r="E32" s="85"/>
      <c r="F32" s="25"/>
      <c r="G32" s="75"/>
      <c r="H32" s="75"/>
      <c r="I32" s="75"/>
      <c r="J32" s="92"/>
      <c r="N32" s="71"/>
      <c r="O32" s="72"/>
    </row>
    <row r="33" spans="2:15" x14ac:dyDescent="0.25">
      <c r="B33" s="91"/>
      <c r="C33" s="85"/>
      <c r="D33" s="85"/>
      <c r="E33" s="85"/>
      <c r="F33" s="25"/>
      <c r="G33" s="75"/>
      <c r="H33" s="75"/>
      <c r="I33" s="75"/>
      <c r="J33" s="94"/>
      <c r="N33" s="71"/>
      <c r="O33" s="72"/>
    </row>
    <row r="34" spans="2:15" x14ac:dyDescent="0.25">
      <c r="B34" s="91"/>
      <c r="C34" s="85"/>
      <c r="D34" s="85"/>
      <c r="E34" s="85"/>
      <c r="F34" s="25"/>
      <c r="G34" s="75"/>
      <c r="H34" s="75"/>
      <c r="I34" s="75"/>
      <c r="J34" s="92"/>
      <c r="N34" s="71"/>
      <c r="O34" s="72"/>
    </row>
    <row r="35" spans="2:15" x14ac:dyDescent="0.25">
      <c r="B35" s="91"/>
      <c r="C35" s="85"/>
      <c r="D35" s="85"/>
      <c r="E35" s="85"/>
      <c r="F35" s="25"/>
      <c r="G35" s="75"/>
      <c r="H35" s="75"/>
      <c r="I35" s="75"/>
      <c r="J35" s="92"/>
      <c r="N35" s="71"/>
      <c r="O35" s="72"/>
    </row>
    <row r="36" spans="2:15" x14ac:dyDescent="0.25">
      <c r="B36" s="91"/>
      <c r="C36" s="85"/>
      <c r="D36" s="85"/>
      <c r="E36" s="85"/>
      <c r="F36" s="25"/>
      <c r="G36" s="75"/>
      <c r="H36" s="75"/>
      <c r="I36" s="75"/>
      <c r="J36" s="92"/>
      <c r="N36" s="76"/>
      <c r="O36" s="72"/>
    </row>
    <row r="37" spans="2:15" ht="15.75" thickBot="1" x14ac:dyDescent="0.3">
      <c r="B37" s="91"/>
      <c r="C37" s="85"/>
      <c r="D37" s="85"/>
      <c r="E37" s="85"/>
      <c r="F37" s="25"/>
      <c r="G37" s="75"/>
      <c r="H37" s="75"/>
      <c r="I37" s="75"/>
      <c r="J37" s="92"/>
      <c r="N37" s="77"/>
      <c r="O37" s="78"/>
    </row>
    <row r="38" spans="2:15" ht="15.75" thickBot="1" x14ac:dyDescent="0.3">
      <c r="B38" s="91"/>
      <c r="C38" s="85"/>
      <c r="D38" s="85"/>
      <c r="E38" s="85"/>
      <c r="F38" s="25"/>
      <c r="G38" s="75"/>
      <c r="H38" s="75"/>
      <c r="I38" s="75"/>
      <c r="J38" s="92"/>
      <c r="N38" s="66" t="s">
        <v>17</v>
      </c>
      <c r="O38" s="67">
        <f>SUM(O4:O37)</f>
        <v>5980</v>
      </c>
    </row>
    <row r="39" spans="2:15" ht="15.75" thickBot="1" x14ac:dyDescent="0.3">
      <c r="B39" s="91"/>
      <c r="C39" s="85"/>
      <c r="D39" s="85"/>
      <c r="E39" s="85"/>
      <c r="F39" s="25"/>
      <c r="G39" s="75"/>
      <c r="H39" s="75"/>
      <c r="I39" s="75"/>
      <c r="J39" s="92"/>
    </row>
    <row r="40" spans="2:15" ht="15.75" thickBot="1" x14ac:dyDescent="0.3">
      <c r="B40" s="91"/>
      <c r="C40" s="85"/>
      <c r="D40" s="85"/>
      <c r="E40" s="85"/>
      <c r="F40" s="25"/>
      <c r="G40" s="75"/>
      <c r="H40" s="75"/>
      <c r="I40" s="75"/>
      <c r="J40" s="92"/>
      <c r="N40" s="66" t="s">
        <v>72</v>
      </c>
      <c r="O40" s="67">
        <f>Morrón!Q2</f>
        <v>838</v>
      </c>
    </row>
    <row r="41" spans="2:15" ht="15.75" thickBot="1" x14ac:dyDescent="0.3">
      <c r="B41" s="91"/>
      <c r="C41" s="85"/>
      <c r="D41" s="85"/>
      <c r="E41" s="85"/>
      <c r="F41" s="25"/>
      <c r="G41" s="75"/>
      <c r="H41" s="75"/>
      <c r="I41" s="75"/>
      <c r="J41" s="92"/>
    </row>
    <row r="42" spans="2:15" ht="15.75" thickBot="1" x14ac:dyDescent="0.3">
      <c r="B42" s="91"/>
      <c r="C42" s="85"/>
      <c r="D42" s="85"/>
      <c r="E42" s="85"/>
      <c r="F42" s="25"/>
      <c r="G42" s="75"/>
      <c r="H42" s="75"/>
      <c r="I42" s="75"/>
      <c r="J42" s="92"/>
      <c r="N42" s="66" t="s">
        <v>73</v>
      </c>
      <c r="O42" s="67">
        <f>+Morrón!R2</f>
        <v>7542</v>
      </c>
    </row>
    <row r="43" spans="2:15" ht="15.75" thickBot="1" x14ac:dyDescent="0.3">
      <c r="B43" s="91"/>
      <c r="C43" s="85"/>
      <c r="D43" s="85"/>
      <c r="E43" s="85"/>
      <c r="F43" s="25"/>
      <c r="G43" s="75"/>
      <c r="H43" s="75"/>
      <c r="I43" s="75"/>
      <c r="J43" s="92"/>
    </row>
    <row r="44" spans="2:15" ht="15.75" thickBot="1" x14ac:dyDescent="0.3">
      <c r="B44" s="91"/>
      <c r="C44" s="85"/>
      <c r="D44" s="85"/>
      <c r="E44" s="85"/>
      <c r="F44" s="25"/>
      <c r="G44" s="75"/>
      <c r="H44" s="75"/>
      <c r="I44" s="75"/>
      <c r="J44" s="92"/>
      <c r="N44" s="66" t="s">
        <v>74</v>
      </c>
      <c r="O44" s="67">
        <f>+O42+O40-O38</f>
        <v>2400</v>
      </c>
    </row>
    <row r="45" spans="2:15" x14ac:dyDescent="0.25">
      <c r="B45" s="91"/>
      <c r="C45" s="85"/>
      <c r="D45" s="85"/>
      <c r="E45" s="85"/>
      <c r="F45" s="25"/>
      <c r="G45" s="75"/>
      <c r="H45" s="75"/>
      <c r="I45" s="75"/>
      <c r="J45" s="92"/>
    </row>
    <row r="46" spans="2:15" x14ac:dyDescent="0.25">
      <c r="B46" s="91"/>
      <c r="C46" s="85"/>
      <c r="D46" s="85"/>
      <c r="E46" s="85"/>
      <c r="F46" s="25"/>
      <c r="G46" s="75"/>
      <c r="H46" s="75"/>
      <c r="I46" s="75"/>
      <c r="J46" s="92"/>
      <c r="O46" s="79"/>
    </row>
    <row r="47" spans="2:15" x14ac:dyDescent="0.25">
      <c r="B47" s="24"/>
      <c r="C47" s="25"/>
      <c r="D47" s="85"/>
      <c r="E47" s="25"/>
      <c r="F47" s="95"/>
      <c r="G47" s="75"/>
      <c r="H47" s="75"/>
      <c r="I47" s="75"/>
      <c r="J47" s="92"/>
    </row>
    <row r="48" spans="2:15" x14ac:dyDescent="0.25">
      <c r="B48" s="24"/>
      <c r="C48" s="25"/>
      <c r="D48" s="85"/>
      <c r="E48" s="25"/>
      <c r="F48" s="95"/>
      <c r="G48" s="75"/>
      <c r="H48" s="75"/>
      <c r="I48" s="75"/>
      <c r="J48" s="92"/>
      <c r="O48" s="80"/>
    </row>
    <row r="49" spans="2:16" x14ac:dyDescent="0.25">
      <c r="B49" s="24"/>
      <c r="C49" s="25"/>
      <c r="D49" s="85"/>
      <c r="E49" s="25"/>
      <c r="F49" s="95"/>
      <c r="G49" s="75"/>
      <c r="H49" s="75"/>
      <c r="I49" s="75"/>
      <c r="J49" s="92"/>
      <c r="O49" s="80"/>
    </row>
    <row r="50" spans="2:16" x14ac:dyDescent="0.25">
      <c r="B50" s="24"/>
      <c r="C50" s="25"/>
      <c r="D50" s="85"/>
      <c r="E50" s="25"/>
      <c r="F50" s="95"/>
      <c r="G50" s="75"/>
      <c r="H50" s="75"/>
      <c r="I50" s="75"/>
      <c r="J50" s="92"/>
      <c r="O50" s="80"/>
    </row>
    <row r="51" spans="2:16" x14ac:dyDescent="0.25">
      <c r="B51" s="24"/>
      <c r="C51" s="25"/>
      <c r="D51" s="85"/>
      <c r="E51" s="25"/>
      <c r="F51" s="95"/>
      <c r="G51" s="75"/>
      <c r="H51" s="75"/>
      <c r="I51" s="75"/>
      <c r="J51" s="92"/>
      <c r="O51" s="80"/>
      <c r="P51" s="80"/>
    </row>
    <row r="52" spans="2:16" x14ac:dyDescent="0.25">
      <c r="B52" s="24"/>
      <c r="C52" s="25"/>
      <c r="D52" s="85"/>
      <c r="E52" s="25"/>
      <c r="F52" s="95"/>
      <c r="G52" s="75"/>
      <c r="H52" s="75"/>
      <c r="I52" s="75"/>
      <c r="J52" s="92"/>
      <c r="O52" s="80"/>
      <c r="P52" s="80"/>
    </row>
    <row r="53" spans="2:16" x14ac:dyDescent="0.25">
      <c r="B53" s="24"/>
      <c r="C53" s="25"/>
      <c r="D53" s="85"/>
      <c r="E53" s="25"/>
      <c r="F53" s="95"/>
      <c r="G53" s="75"/>
      <c r="H53" s="75"/>
      <c r="I53" s="75"/>
      <c r="J53" s="92"/>
    </row>
    <row r="54" spans="2:16" x14ac:dyDescent="0.25">
      <c r="B54" s="24"/>
      <c r="C54" s="25"/>
      <c r="D54" s="85"/>
      <c r="E54" s="25"/>
      <c r="F54" s="95"/>
      <c r="G54" s="75"/>
      <c r="H54" s="75"/>
      <c r="I54" s="75"/>
      <c r="J54" s="92"/>
      <c r="O54" s="80"/>
      <c r="P54" s="80"/>
    </row>
    <row r="55" spans="2:16" x14ac:dyDescent="0.25">
      <c r="B55" s="24"/>
      <c r="C55" s="25"/>
      <c r="D55" s="85"/>
      <c r="E55" s="25"/>
      <c r="F55" s="95"/>
      <c r="G55" s="75"/>
      <c r="H55" s="75"/>
      <c r="I55" s="75"/>
      <c r="J55" s="92"/>
      <c r="O55" s="80"/>
      <c r="P55" s="80"/>
    </row>
    <row r="56" spans="2:16" x14ac:dyDescent="0.25">
      <c r="B56" s="24"/>
      <c r="C56" s="25"/>
      <c r="D56" s="85"/>
      <c r="E56" s="25"/>
      <c r="F56" s="95"/>
      <c r="G56" s="75"/>
      <c r="H56" s="75"/>
      <c r="I56" s="75"/>
      <c r="J56" s="92"/>
    </row>
    <row r="57" spans="2:16" x14ac:dyDescent="0.25">
      <c r="B57" s="24"/>
      <c r="C57" s="25"/>
      <c r="D57" s="85"/>
      <c r="E57" s="25"/>
      <c r="F57" s="95"/>
      <c r="G57" s="75"/>
      <c r="H57" s="75"/>
      <c r="I57" s="75"/>
      <c r="J57" s="92"/>
    </row>
    <row r="58" spans="2:16" x14ac:dyDescent="0.25">
      <c r="B58" s="24"/>
      <c r="C58" s="25"/>
      <c r="D58" s="85"/>
      <c r="E58" s="25"/>
      <c r="F58" s="95"/>
      <c r="G58" s="75"/>
      <c r="H58" s="75"/>
      <c r="I58" s="75"/>
      <c r="J58" s="92"/>
    </row>
    <row r="59" spans="2:16" x14ac:dyDescent="0.25">
      <c r="B59" s="24"/>
      <c r="C59" s="25"/>
      <c r="D59" s="85"/>
      <c r="E59" s="25"/>
      <c r="F59" s="95"/>
      <c r="G59" s="75"/>
      <c r="H59" s="75"/>
      <c r="I59" s="75"/>
      <c r="J59" s="92"/>
    </row>
    <row r="60" spans="2:16" x14ac:dyDescent="0.25">
      <c r="B60" s="24"/>
      <c r="C60" s="25"/>
      <c r="D60" s="85"/>
      <c r="E60" s="25"/>
      <c r="F60" s="95"/>
      <c r="G60" s="75"/>
      <c r="H60" s="75"/>
      <c r="I60" s="75"/>
      <c r="J60" s="92"/>
    </row>
    <row r="61" spans="2:16" x14ac:dyDescent="0.25">
      <c r="B61" s="24"/>
      <c r="C61" s="25"/>
      <c r="D61" s="85"/>
      <c r="E61" s="25"/>
      <c r="F61" s="95"/>
      <c r="G61" s="75"/>
      <c r="H61" s="75"/>
      <c r="I61" s="75"/>
      <c r="J61" s="92"/>
    </row>
    <row r="62" spans="2:16" x14ac:dyDescent="0.25">
      <c r="B62" s="24"/>
      <c r="C62" s="25"/>
      <c r="D62" s="85"/>
      <c r="E62" s="25"/>
      <c r="F62" s="95"/>
      <c r="G62" s="75"/>
      <c r="H62" s="75"/>
      <c r="I62" s="75"/>
      <c r="J62" s="92"/>
    </row>
    <row r="63" spans="2:16" x14ac:dyDescent="0.25">
      <c r="B63" s="24"/>
      <c r="C63" s="25"/>
      <c r="D63" s="85"/>
      <c r="E63" s="25"/>
      <c r="F63" s="95"/>
      <c r="G63" s="75"/>
      <c r="H63" s="75"/>
      <c r="I63" s="75"/>
      <c r="J63" s="92"/>
    </row>
    <row r="64" spans="2:16" x14ac:dyDescent="0.25">
      <c r="B64" s="24"/>
      <c r="C64" s="25"/>
      <c r="D64" s="85"/>
      <c r="E64" s="25"/>
      <c r="F64" s="95"/>
      <c r="G64" s="75"/>
      <c r="H64" s="75"/>
      <c r="I64" s="75"/>
      <c r="J64" s="92"/>
    </row>
    <row r="65" spans="2:10" x14ac:dyDescent="0.25">
      <c r="B65" s="24"/>
      <c r="C65" s="25"/>
      <c r="D65" s="85"/>
      <c r="E65" s="25"/>
      <c r="F65" s="95"/>
      <c r="G65" s="75"/>
      <c r="H65" s="75"/>
      <c r="I65" s="75"/>
      <c r="J65" s="92"/>
    </row>
    <row r="66" spans="2:10" x14ac:dyDescent="0.25">
      <c r="B66" s="24"/>
      <c r="C66" s="25"/>
      <c r="D66" s="85"/>
      <c r="E66" s="25"/>
      <c r="F66" s="95"/>
      <c r="G66" s="75"/>
      <c r="H66" s="75"/>
      <c r="I66" s="75"/>
      <c r="J66" s="92"/>
    </row>
    <row r="67" spans="2:10" x14ac:dyDescent="0.25">
      <c r="B67" s="24"/>
      <c r="C67" s="25"/>
      <c r="D67" s="85"/>
      <c r="E67" s="25"/>
      <c r="F67" s="95"/>
      <c r="G67" s="75"/>
      <c r="H67" s="75"/>
      <c r="I67" s="75"/>
      <c r="J67" s="92"/>
    </row>
    <row r="68" spans="2:10" x14ac:dyDescent="0.25">
      <c r="B68" s="24"/>
      <c r="C68" s="25"/>
      <c r="D68" s="85"/>
      <c r="E68" s="25"/>
      <c r="F68" s="95"/>
      <c r="G68" s="75"/>
      <c r="H68" s="75"/>
      <c r="I68" s="75"/>
      <c r="J68" s="92"/>
    </row>
    <row r="69" spans="2:10" x14ac:dyDescent="0.25">
      <c r="B69" s="24"/>
      <c r="C69" s="25"/>
      <c r="D69" s="85"/>
      <c r="E69" s="25"/>
      <c r="F69" s="95"/>
      <c r="G69" s="75"/>
      <c r="H69" s="75"/>
      <c r="I69" s="75"/>
      <c r="J69" s="92"/>
    </row>
    <row r="70" spans="2:10" x14ac:dyDescent="0.25">
      <c r="B70" s="24"/>
      <c r="C70" s="25"/>
      <c r="D70" s="85"/>
      <c r="E70" s="25"/>
      <c r="F70" s="95"/>
      <c r="G70" s="75"/>
      <c r="H70" s="75"/>
      <c r="I70" s="75"/>
      <c r="J70" s="92"/>
    </row>
    <row r="71" spans="2:10" x14ac:dyDescent="0.25">
      <c r="B71" s="24"/>
      <c r="C71" s="25"/>
      <c r="D71" s="85"/>
      <c r="E71" s="25"/>
      <c r="F71" s="95"/>
      <c r="G71" s="75"/>
      <c r="H71" s="75"/>
      <c r="I71" s="75"/>
      <c r="J71" s="92"/>
    </row>
    <row r="72" spans="2:10" x14ac:dyDescent="0.25">
      <c r="B72" s="24"/>
      <c r="C72" s="25"/>
      <c r="D72" s="85"/>
      <c r="E72" s="25"/>
      <c r="F72" s="95"/>
      <c r="G72" s="75"/>
      <c r="H72" s="75"/>
      <c r="I72" s="75"/>
      <c r="J72" s="92"/>
    </row>
    <row r="73" spans="2:10" x14ac:dyDescent="0.25">
      <c r="B73" s="24"/>
      <c r="C73" s="25"/>
      <c r="D73" s="85"/>
      <c r="E73" s="25"/>
      <c r="F73" s="95"/>
      <c r="G73" s="75"/>
      <c r="H73" s="75"/>
      <c r="I73" s="75"/>
      <c r="J73" s="98"/>
    </row>
    <row r="74" spans="2:10" x14ac:dyDescent="0.25">
      <c r="B74" s="24"/>
      <c r="C74" s="25"/>
      <c r="D74" s="85"/>
      <c r="E74" s="25"/>
      <c r="F74" s="95"/>
      <c r="G74" s="75"/>
      <c r="H74" s="75"/>
      <c r="I74" s="75"/>
      <c r="J74" s="92"/>
    </row>
    <row r="75" spans="2:10" x14ac:dyDescent="0.25">
      <c r="B75" s="24"/>
      <c r="C75" s="25"/>
      <c r="D75" s="85"/>
      <c r="E75" s="25"/>
      <c r="F75" s="95"/>
      <c r="G75" s="75"/>
      <c r="H75" s="75"/>
      <c r="I75" s="75"/>
      <c r="J75" s="98"/>
    </row>
    <row r="76" spans="2:10" x14ac:dyDescent="0.25">
      <c r="B76" s="24"/>
      <c r="C76" s="25"/>
      <c r="D76" s="85"/>
      <c r="E76" s="25"/>
      <c r="F76" s="95"/>
      <c r="G76" s="75"/>
      <c r="H76" s="75"/>
      <c r="I76" s="75"/>
      <c r="J76" s="92"/>
    </row>
    <row r="77" spans="2:10" x14ac:dyDescent="0.25">
      <c r="B77" s="24"/>
      <c r="C77" s="25"/>
      <c r="D77" s="85"/>
      <c r="E77" s="25"/>
      <c r="F77" s="95"/>
      <c r="G77" s="75"/>
      <c r="H77" s="75"/>
      <c r="I77" s="75"/>
      <c r="J77" s="92"/>
    </row>
    <row r="78" spans="2:10" x14ac:dyDescent="0.25">
      <c r="B78" s="24"/>
      <c r="C78" s="25"/>
      <c r="D78" s="85"/>
      <c r="E78" s="25"/>
      <c r="F78" s="95"/>
      <c r="G78" s="75"/>
      <c r="H78" s="75"/>
      <c r="I78" s="75"/>
      <c r="J78" s="92"/>
    </row>
    <row r="79" spans="2:10" x14ac:dyDescent="0.25">
      <c r="B79" s="24"/>
      <c r="C79" s="25"/>
      <c r="D79" s="85"/>
      <c r="E79" s="25"/>
      <c r="F79" s="95"/>
      <c r="G79" s="75"/>
      <c r="H79" s="75"/>
      <c r="I79" s="75"/>
      <c r="J79" s="92"/>
    </row>
    <row r="80" spans="2:10" x14ac:dyDescent="0.25">
      <c r="B80" s="24"/>
      <c r="C80" s="25"/>
      <c r="D80" s="85"/>
      <c r="E80" s="25"/>
      <c r="F80" s="95"/>
      <c r="G80" s="75"/>
      <c r="H80" s="75"/>
      <c r="I80" s="75"/>
      <c r="J80" s="92"/>
    </row>
    <row r="81" spans="2:10" x14ac:dyDescent="0.25">
      <c r="B81" s="24"/>
      <c r="C81" s="25"/>
      <c r="D81" s="85"/>
      <c r="E81" s="25"/>
      <c r="F81" s="95"/>
      <c r="G81" s="75"/>
      <c r="H81" s="75"/>
      <c r="I81" s="75"/>
      <c r="J81" s="92"/>
    </row>
    <row r="82" spans="2:10" x14ac:dyDescent="0.25">
      <c r="B82" s="24"/>
      <c r="C82" s="25"/>
      <c r="D82" s="85"/>
      <c r="E82" s="25"/>
      <c r="F82" s="95"/>
      <c r="G82" s="75"/>
      <c r="H82" s="75"/>
      <c r="I82" s="75"/>
      <c r="J82" s="92"/>
    </row>
    <row r="83" spans="2:10" x14ac:dyDescent="0.25">
      <c r="B83" s="24"/>
      <c r="C83" s="25"/>
      <c r="D83" s="85"/>
      <c r="E83" s="25"/>
      <c r="F83" s="95"/>
      <c r="G83" s="75"/>
      <c r="H83" s="75"/>
      <c r="I83" s="75"/>
      <c r="J83" s="92"/>
    </row>
    <row r="84" spans="2:10" x14ac:dyDescent="0.25">
      <c r="B84" s="24"/>
      <c r="C84" s="25"/>
      <c r="D84" s="85"/>
      <c r="E84" s="25"/>
      <c r="F84" s="95"/>
      <c r="G84" s="75"/>
      <c r="H84" s="75"/>
      <c r="I84" s="75"/>
      <c r="J84" s="92"/>
    </row>
    <row r="85" spans="2:10" x14ac:dyDescent="0.25">
      <c r="B85" s="24"/>
      <c r="C85" s="25"/>
      <c r="D85" s="85"/>
      <c r="E85" s="25"/>
      <c r="F85" s="95"/>
      <c r="G85" s="75"/>
      <c r="H85" s="75"/>
      <c r="I85" s="75"/>
      <c r="J85" s="92"/>
    </row>
    <row r="86" spans="2:10" x14ac:dyDescent="0.25">
      <c r="B86" s="24"/>
      <c r="C86" s="25"/>
      <c r="D86" s="85"/>
      <c r="E86" s="25"/>
      <c r="F86" s="95"/>
      <c r="G86" s="75"/>
      <c r="H86" s="75"/>
      <c r="I86" s="75"/>
      <c r="J86" s="92"/>
    </row>
    <row r="87" spans="2:10" x14ac:dyDescent="0.25">
      <c r="B87" s="24"/>
      <c r="C87" s="25"/>
      <c r="D87" s="85"/>
      <c r="E87" s="25"/>
      <c r="F87" s="95"/>
      <c r="G87" s="75"/>
      <c r="H87" s="75"/>
      <c r="I87" s="75"/>
      <c r="J87" s="92"/>
    </row>
    <row r="88" spans="2:10" x14ac:dyDescent="0.25">
      <c r="B88" s="24"/>
      <c r="C88" s="25"/>
      <c r="D88" s="85"/>
      <c r="E88" s="25"/>
      <c r="F88" s="95"/>
      <c r="G88" s="75"/>
      <c r="H88" s="75"/>
      <c r="I88" s="75"/>
      <c r="J88" s="92"/>
    </row>
    <row r="89" spans="2:10" x14ac:dyDescent="0.25">
      <c r="B89" s="24"/>
      <c r="C89" s="25"/>
      <c r="D89" s="85"/>
      <c r="E89" s="25"/>
      <c r="F89" s="95"/>
      <c r="G89" s="100"/>
      <c r="H89" s="75"/>
      <c r="I89" s="75"/>
      <c r="J89" s="92"/>
    </row>
    <row r="90" spans="2:10" x14ac:dyDescent="0.25">
      <c r="B90" s="24"/>
      <c r="C90" s="25"/>
      <c r="D90" s="85"/>
      <c r="E90" s="25"/>
      <c r="F90" s="95"/>
      <c r="G90" s="100"/>
      <c r="H90" s="75"/>
      <c r="I90" s="75"/>
      <c r="J90" s="92"/>
    </row>
    <row r="91" spans="2:10" x14ac:dyDescent="0.25">
      <c r="B91" s="24"/>
      <c r="C91" s="25"/>
      <c r="D91" s="85"/>
      <c r="E91" s="25"/>
      <c r="F91" s="95"/>
      <c r="G91" s="100"/>
      <c r="H91" s="75"/>
      <c r="I91" s="75"/>
      <c r="J91" s="92"/>
    </row>
    <row r="92" spans="2:10" x14ac:dyDescent="0.25">
      <c r="B92" s="24"/>
      <c r="C92" s="85"/>
      <c r="D92" s="85"/>
      <c r="E92" s="25"/>
      <c r="F92" s="95"/>
      <c r="G92" s="75"/>
      <c r="H92" s="75"/>
      <c r="I92" s="75"/>
      <c r="J92" s="92"/>
    </row>
    <row r="93" spans="2:10" x14ac:dyDescent="0.25">
      <c r="B93" s="24"/>
      <c r="C93" s="85"/>
      <c r="D93" s="85"/>
      <c r="E93" s="25"/>
      <c r="F93" s="95"/>
      <c r="G93" s="100"/>
      <c r="H93" s="75"/>
      <c r="I93" s="75"/>
      <c r="J93" s="92"/>
    </row>
    <row r="94" spans="2:10" x14ac:dyDescent="0.25">
      <c r="B94" s="24"/>
      <c r="C94" s="85"/>
      <c r="D94" s="85"/>
      <c r="E94" s="25"/>
      <c r="F94" s="95"/>
      <c r="G94" s="100"/>
      <c r="H94" s="75"/>
      <c r="I94" s="75"/>
      <c r="J94" s="92"/>
    </row>
    <row r="95" spans="2:10" x14ac:dyDescent="0.25">
      <c r="B95" s="24"/>
      <c r="C95" s="85"/>
      <c r="D95" s="85"/>
      <c r="E95" s="25"/>
      <c r="F95" s="95"/>
      <c r="G95" s="100"/>
      <c r="H95" s="75"/>
      <c r="I95" s="75"/>
      <c r="J95" s="92"/>
    </row>
    <row r="96" spans="2:10" x14ac:dyDescent="0.25">
      <c r="B96" s="24"/>
      <c r="C96" s="85"/>
      <c r="D96" s="85"/>
      <c r="E96" s="25"/>
      <c r="F96" s="95"/>
      <c r="G96" s="100"/>
      <c r="H96" s="75"/>
      <c r="I96" s="75"/>
      <c r="J96" s="92"/>
    </row>
    <row r="97" spans="2:10" x14ac:dyDescent="0.25">
      <c r="B97" s="91"/>
      <c r="C97" s="85"/>
      <c r="D97" s="85"/>
      <c r="E97" s="85"/>
      <c r="F97" s="25"/>
      <c r="G97" s="75"/>
      <c r="H97" s="75"/>
      <c r="I97" s="75"/>
      <c r="J97" s="94"/>
    </row>
    <row r="98" spans="2:10" x14ac:dyDescent="0.25">
      <c r="B98" s="91"/>
      <c r="C98" s="85"/>
      <c r="D98" s="85"/>
      <c r="E98" s="85"/>
      <c r="F98" s="25"/>
      <c r="G98" s="75"/>
      <c r="H98" s="75"/>
      <c r="I98" s="75"/>
      <c r="J98" s="92"/>
    </row>
    <row r="99" spans="2:10" x14ac:dyDescent="0.25">
      <c r="B99" s="91"/>
      <c r="C99" s="85"/>
      <c r="D99" s="85"/>
      <c r="E99" s="85"/>
      <c r="F99" s="25"/>
      <c r="G99" s="75"/>
      <c r="H99" s="75"/>
      <c r="I99" s="75"/>
      <c r="J99" s="92"/>
    </row>
    <row r="100" spans="2:10" x14ac:dyDescent="0.25">
      <c r="B100" s="91"/>
      <c r="C100" s="85"/>
      <c r="D100" s="85"/>
      <c r="E100" s="85"/>
      <c r="F100" s="25"/>
      <c r="G100" s="75"/>
      <c r="H100" s="75"/>
      <c r="I100" s="75"/>
      <c r="J100" s="92"/>
    </row>
    <row r="101" spans="2:10" x14ac:dyDescent="0.25">
      <c r="B101" s="91"/>
      <c r="C101" s="85"/>
      <c r="D101" s="85"/>
      <c r="E101" s="85"/>
      <c r="F101" s="25"/>
      <c r="G101" s="75"/>
      <c r="H101" s="75"/>
      <c r="I101" s="75"/>
      <c r="J101" s="92"/>
    </row>
    <row r="102" spans="2:10" x14ac:dyDescent="0.25">
      <c r="B102" s="91"/>
      <c r="C102" s="85"/>
      <c r="D102" s="85"/>
      <c r="E102" s="85"/>
      <c r="F102" s="25"/>
      <c r="G102" s="75"/>
      <c r="H102" s="75"/>
      <c r="I102" s="75"/>
      <c r="J102" s="94"/>
    </row>
    <row r="103" spans="2:10" x14ac:dyDescent="0.25">
      <c r="B103" s="91"/>
      <c r="C103" s="85"/>
      <c r="D103" s="85"/>
      <c r="E103" s="85"/>
      <c r="F103" s="25"/>
      <c r="G103" s="75"/>
      <c r="H103" s="75"/>
      <c r="I103" s="75"/>
      <c r="J103" s="92"/>
    </row>
    <row r="104" spans="2:10" x14ac:dyDescent="0.25">
      <c r="B104" s="91"/>
      <c r="C104" s="85"/>
      <c r="D104" s="85"/>
      <c r="E104" s="85"/>
      <c r="F104" s="25"/>
      <c r="G104" s="75"/>
      <c r="H104" s="75"/>
      <c r="I104" s="75"/>
      <c r="J104" s="92"/>
    </row>
    <row r="105" spans="2:10" x14ac:dyDescent="0.25">
      <c r="B105" s="91"/>
      <c r="C105" s="85"/>
      <c r="D105" s="85"/>
      <c r="E105" s="85"/>
      <c r="F105" s="25"/>
      <c r="G105" s="75"/>
      <c r="H105" s="75"/>
      <c r="I105" s="75"/>
      <c r="J105" s="9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CC301-F59E-4EF9-AD64-E57A9E70782E}">
  <dimension ref="D2:L12"/>
  <sheetViews>
    <sheetView topLeftCell="B1" workbookViewId="0">
      <selection activeCell="K6" sqref="K6"/>
    </sheetView>
  </sheetViews>
  <sheetFormatPr baseColWidth="10" defaultColWidth="11.42578125" defaultRowHeight="15" x14ac:dyDescent="0.25"/>
  <cols>
    <col min="4" max="4" width="16.85546875" customWidth="1"/>
    <col min="5" max="5" width="16.140625" customWidth="1"/>
    <col min="6" max="6" width="14.140625" bestFit="1" customWidth="1"/>
    <col min="7" max="7" width="12.5703125" bestFit="1" customWidth="1"/>
    <col min="8" max="8" width="2.85546875" customWidth="1"/>
    <col min="9" max="9" width="13.42578125" customWidth="1"/>
    <col min="10" max="10" width="16.140625" bestFit="1" customWidth="1"/>
    <col min="11" max="11" width="17.7109375" customWidth="1"/>
  </cols>
  <sheetData>
    <row r="2" spans="4:12" ht="30" x14ac:dyDescent="0.25">
      <c r="D2" s="169" t="s">
        <v>81</v>
      </c>
    </row>
    <row r="3" spans="4:12" x14ac:dyDescent="0.25">
      <c r="E3" s="47"/>
      <c r="F3" s="47"/>
      <c r="G3" s="47"/>
      <c r="H3" s="47"/>
      <c r="I3" s="47"/>
      <c r="J3" s="47"/>
      <c r="K3" s="47"/>
      <c r="L3" s="47"/>
    </row>
    <row r="4" spans="4:12" ht="23.25" customHeight="1" x14ac:dyDescent="0.25">
      <c r="E4" s="170" t="s">
        <v>82</v>
      </c>
      <c r="F4" s="170" t="s">
        <v>83</v>
      </c>
      <c r="G4" s="170" t="s">
        <v>84</v>
      </c>
      <c r="H4" s="170"/>
      <c r="I4" s="170" t="s">
        <v>85</v>
      </c>
      <c r="J4" s="170" t="s">
        <v>86</v>
      </c>
      <c r="K4" s="170" t="s">
        <v>87</v>
      </c>
      <c r="L4" s="47"/>
    </row>
    <row r="5" spans="4:12" ht="23.25" customHeight="1" x14ac:dyDescent="0.25">
      <c r="D5" t="s">
        <v>88</v>
      </c>
      <c r="E5" s="167">
        <f>+Tomatillo!O2</f>
        <v>1056938.56</v>
      </c>
      <c r="F5" s="167">
        <f>+'Estado de Cuenta T'!O39</f>
        <v>731832</v>
      </c>
      <c r="G5" s="171">
        <f>+E5-F5</f>
        <v>325106.56000000006</v>
      </c>
      <c r="H5" s="167"/>
      <c r="I5" s="167">
        <f>+Tomatillo!Q2</f>
        <v>92709.664000000019</v>
      </c>
      <c r="J5" s="167">
        <v>60149</v>
      </c>
      <c r="K5" s="167">
        <f>+G5-I5+J5</f>
        <v>292545.89600000007</v>
      </c>
    </row>
    <row r="6" spans="4:12" ht="23.25" customHeight="1" x14ac:dyDescent="0.25">
      <c r="D6" t="s">
        <v>89</v>
      </c>
      <c r="E6" s="167">
        <f>+Roma!O2</f>
        <v>864923.07000000007</v>
      </c>
      <c r="F6" s="167">
        <f>+'Estado de Cuenta R'!O38</f>
        <v>702245</v>
      </c>
      <c r="G6" s="171">
        <f>+E6-F6</f>
        <v>162678.07000000007</v>
      </c>
      <c r="H6" s="167"/>
      <c r="I6" s="167">
        <f>+Roma!Q2</f>
        <v>86492.307000000001</v>
      </c>
      <c r="J6" s="167">
        <v>11968</v>
      </c>
      <c r="K6" s="167">
        <f t="shared" ref="K6:K7" si="0">+G6-I6+J6</f>
        <v>88153.763000000064</v>
      </c>
    </row>
    <row r="7" spans="4:12" ht="23.25" customHeight="1" x14ac:dyDescent="0.25">
      <c r="D7" t="s">
        <v>90</v>
      </c>
      <c r="E7" s="167">
        <f>+Morrón!O2</f>
        <v>8380</v>
      </c>
      <c r="F7" s="167">
        <f>+'Estado de Cuenta M'!O38</f>
        <v>5980</v>
      </c>
      <c r="G7" s="171">
        <f>+E7-F7</f>
        <v>2400</v>
      </c>
      <c r="H7" s="167"/>
      <c r="I7" s="167">
        <f>+Morrón!Q2</f>
        <v>838</v>
      </c>
      <c r="J7" s="167">
        <v>0</v>
      </c>
      <c r="K7" s="167">
        <f t="shared" si="0"/>
        <v>1562</v>
      </c>
    </row>
    <row r="8" spans="4:12" ht="23.25" customHeight="1" x14ac:dyDescent="0.25">
      <c r="E8" s="167"/>
      <c r="F8" s="167"/>
      <c r="G8" s="171"/>
      <c r="H8" s="167"/>
      <c r="I8" s="167"/>
      <c r="J8" s="167"/>
      <c r="K8" s="167"/>
    </row>
    <row r="9" spans="4:12" ht="23.25" customHeight="1" x14ac:dyDescent="0.25">
      <c r="E9" s="168">
        <f>SUM(E5:E8)</f>
        <v>1930241.6300000001</v>
      </c>
      <c r="F9" s="168">
        <f>SUM(F5:F8)</f>
        <v>1440057</v>
      </c>
      <c r="G9" s="172">
        <f>SUM(G5:G8)</f>
        <v>490184.63000000012</v>
      </c>
      <c r="H9" s="168"/>
      <c r="I9" s="168">
        <f>SUM(I5:I8)</f>
        <v>180039.97100000002</v>
      </c>
      <c r="J9" s="168">
        <f>SUM(J5:J8)</f>
        <v>72117</v>
      </c>
      <c r="K9" s="168">
        <f>+G9-I9+J9</f>
        <v>382261.6590000001</v>
      </c>
    </row>
    <row r="10" spans="4:12" ht="23.25" customHeight="1" x14ac:dyDescent="0.25">
      <c r="E10" s="167"/>
      <c r="F10" s="167"/>
      <c r="G10" s="167"/>
      <c r="H10" s="167"/>
      <c r="I10" s="167"/>
      <c r="J10" s="167"/>
      <c r="K10" s="166"/>
      <c r="L10" s="167"/>
    </row>
    <row r="11" spans="4:12" ht="23.25" customHeight="1" x14ac:dyDescent="0.25">
      <c r="E11" s="167"/>
      <c r="F11" s="167"/>
      <c r="G11" s="167"/>
      <c r="H11" s="167"/>
      <c r="I11" s="167">
        <f>+I9-J9</f>
        <v>107922.97100000002</v>
      </c>
      <c r="J11" s="167"/>
      <c r="K11" s="166"/>
      <c r="L11" s="167"/>
    </row>
    <row r="12" spans="4:12" x14ac:dyDescent="0.25">
      <c r="E12" s="167"/>
      <c r="F12" s="167"/>
      <c r="G12" s="167"/>
      <c r="H12" s="167"/>
      <c r="I12" s="167" t="s">
        <v>91</v>
      </c>
      <c r="J12" s="167"/>
      <c r="K12" s="166"/>
      <c r="L12" s="16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Tomatillo</vt:lpstr>
      <vt:lpstr>Morrón</vt:lpstr>
      <vt:lpstr>Roma</vt:lpstr>
      <vt:lpstr>Estado de Cuenta T</vt:lpstr>
      <vt:lpstr>Estado de Cuenta R</vt:lpstr>
      <vt:lpstr>Estado de Cuenta M</vt:lpstr>
      <vt:lpstr>acum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esquer felix</dc:creator>
  <cp:keywords/>
  <dc:description/>
  <cp:lastModifiedBy>miguel esquer felix</cp:lastModifiedBy>
  <cp:revision/>
  <dcterms:created xsi:type="dcterms:W3CDTF">2026-04-16T20:18:33Z</dcterms:created>
  <dcterms:modified xsi:type="dcterms:W3CDTF">2026-05-14T00:50:23Z</dcterms:modified>
  <cp:category/>
  <cp:contentStatus/>
</cp:coreProperties>
</file>