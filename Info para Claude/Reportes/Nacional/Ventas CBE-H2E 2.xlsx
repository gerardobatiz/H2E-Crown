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682" documentId="8_{101B3648-96E3-491A-B0FE-FBAE7237A7DD}" xr6:coauthVersionLast="47" xr6:coauthVersionMax="47" xr10:uidLastSave="{CDFB221C-B969-4193-9EA9-4A6D5053E81E}"/>
  <bookViews>
    <workbookView xWindow="-120" yWindow="-120" windowWidth="20730" windowHeight="11160" firstSheet="6" activeTab="6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8" l="1"/>
  <c r="M7" i="8"/>
  <c r="M8" i="8"/>
  <c r="M5" i="8"/>
  <c r="N6" i="8"/>
  <c r="N7" i="8"/>
  <c r="N8" i="8"/>
  <c r="N5" i="8"/>
  <c r="N9" i="8"/>
  <c r="F18" i="4"/>
  <c r="G18" i="4"/>
  <c r="I18" i="4"/>
  <c r="B18" i="4"/>
  <c r="C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M21" i="3"/>
  <c r="O21" i="3" s="1"/>
  <c r="Q21" i="3" s="1"/>
  <c r="L21" i="3"/>
  <c r="J21" i="3"/>
  <c r="O20" i="3"/>
  <c r="Q20" i="3" s="1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G9" i="8"/>
  <c r="K2" i="3"/>
  <c r="O42" i="4"/>
  <c r="O44" i="4" s="1"/>
  <c r="K2" i="4" s="1"/>
  <c r="I11" i="8" l="1"/>
  <c r="M9" i="8"/>
  <c r="O9" i="8" s="1"/>
  <c r="K9" i="8"/>
  <c r="K4" i="6" l="1"/>
  <c r="K4" i="4"/>
  <c r="K4" i="2"/>
</calcChain>
</file>

<file path=xl/sharedStrings.xml><?xml version="1.0" encoding="utf-8"?>
<sst xmlns="http://schemas.openxmlformats.org/spreadsheetml/2006/main" count="370" uniqueCount="109">
  <si>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</si>
  <si>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</si>
  <si>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</si>
  <si>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</si>
  <si>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</si>
  <si>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</si>
  <si>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</si>
  <si>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</si>
  <si>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</si>
  <si>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</si>
  <si>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</si>
  <si>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</si>
  <si>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</si>
  <si>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</si>
  <si>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</si>
  <si>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</si>
  <si>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</si>
  <si>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</si>
  <si>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</si>
  <si>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</si>
  <si>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</si>
  <si>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</si>
  <si>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</si>
  <si>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</si>
  <si>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</si>
  <si>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</si>
  <si>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</si>
  <si>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</si>
  <si>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</si>
  <si>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</si>
  <si>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</si>
  <si>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</si>
  <si>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</si>
  <si>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</si>
  <si>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Prueba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</si>
  <si>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</si>
  <si>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</si>
  <si>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</si>
  <si>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</si>
  <si>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</si>
  <si>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</si>
  <si>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</si>
  <si>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</si>
  <si>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</si>
  <si>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</si>
  <si>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</si>
  <si>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</si>
  <si>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</si>
  <si>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</si>
  <si>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</si>
  <si>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</si>
  <si>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</si>
  <si>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</si>
  <si>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</si>
  <si>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</si>
  <si>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</si>
  <si>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</si>
  <si>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</si>
  <si>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</si>
  <si>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</si>
  <si>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</si>
  <si>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</si>
  <si>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</si>
  <si>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</si>
  <si>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</si>
  <si>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</si>
  <si>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</si>
  <si>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</si>
  <si>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</si>
  <si>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</si>
  <si>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</si>
  <si>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</si>
  <si>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</si>
  <si>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</si>
  <si>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</si>
  <si>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</si>
  <si>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</si>
  <si>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</si>
  <si>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</si>
  <si>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</si>
  <si>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</si>
  <si>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</si>
  <si>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</si>
  <si>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</si>
  <si>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</si>
  <si>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</si>
  <si>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</si>
  <si>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</si>
  <si>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</si>
  <si>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</si>
  <si>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</si>
  <si>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</si>
  <si>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</si>
  <si>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</si>
  <si>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</si>
  <si>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</si>
  <si>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</si>
  <si>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</si>
  <si>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</si>
  <si>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</si>
  <si>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</si>
  <si>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</si>
  <si>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</si>
  <si>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Venta Neta H2E</t>
  </si>
  <si>
    <t>Pagos a H2E</t>
  </si>
  <si>
    <t>tomatillo</t>
  </si>
  <si>
    <t>roma</t>
  </si>
  <si>
    <t>morron</t>
  </si>
  <si>
    <t>comision cxp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</si>
</sst>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* #,##0_);_(* \(#,##0\);_(* &quot;-&quot;??_);_(@_)"/>
    <numFmt numFmtId="167" formatCode="_-* #,##0_-;\-* #,##0_-;_-* &quot;-&quot;??_-;_-@_-"/>
    <numFmt numFmtId="168" formatCode="_-[$$-409]* #,##0.00_ ;_-[$$-409]* \-#,##0.00\ ;_-[$$-409]* &quot;-&quot;??_ ;_-@_ "/>
    <numFmt numFmtId="169" formatCode="_-[$$-80A]* #,##0.00_-;\-[$$-80A]* #,##0.00_-;_-[$$-80A]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2" xfId="2" applyNumberFormat="1" applyFont="1" applyFill="1" applyBorder="1" applyAlignment="1">
      <alignment horizontal="center" vertical="center"/>
    </xf>
    <xf numFmtId="167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6" fontId="2" fillId="2" borderId="3" xfId="2" applyNumberFormat="1" applyFont="1" applyFill="1" applyBorder="1" applyAlignment="1">
      <alignment horizontal="center" vertical="center"/>
    </xf>
    <xf numFmtId="16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0" fillId="0" borderId="0" xfId="2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4" fontId="2" fillId="3" borderId="5" xfId="2" applyFont="1" applyFill="1" applyBorder="1" applyAlignment="1">
      <alignment horizontal="center" vertical="center"/>
    </xf>
    <xf numFmtId="16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7" fontId="0" fillId="0" borderId="8" xfId="1" applyNumberFormat="1" applyFont="1" applyFill="1" applyBorder="1" applyAlignment="1">
      <alignment horizontal="center" vertical="center"/>
    </xf>
    <xf numFmtId="16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0" fillId="0" borderId="3" xfId="1" applyNumberFormat="1" applyFont="1" applyFill="1" applyBorder="1" applyAlignment="1">
      <alignment horizontal="center" vertical="center"/>
    </xf>
    <xf numFmtId="164" fontId="0" fillId="0" borderId="3" xfId="2" applyFont="1" applyFill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167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16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164" fontId="0" fillId="6" borderId="8" xfId="2" applyFont="1" applyFill="1" applyBorder="1" applyAlignment="1">
      <alignment horizontal="center" vertical="center"/>
    </xf>
    <xf numFmtId="164" fontId="0" fillId="6" borderId="3" xfId="2" applyFont="1" applyFill="1" applyBorder="1" applyAlignment="1">
      <alignment horizontal="center" vertical="center"/>
    </xf>
    <xf numFmtId="164" fontId="0" fillId="6" borderId="3" xfId="0" applyNumberFormat="1" applyFill="1" applyBorder="1" applyAlignment="1">
      <alignment horizontal="center" vertical="center"/>
    </xf>
    <xf numFmtId="167" fontId="0" fillId="6" borderId="8" xfId="1" applyNumberFormat="1" applyFon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164" fontId="2" fillId="7" borderId="10" xfId="2" applyFont="1" applyFill="1" applyBorder="1" applyAlignment="1">
      <alignment horizontal="center"/>
    </xf>
    <xf numFmtId="164" fontId="2" fillId="7" borderId="10" xfId="0" applyNumberFormat="1" applyFont="1" applyFill="1" applyBorder="1" applyAlignment="1">
      <alignment horizontal="center"/>
    </xf>
    <xf numFmtId="164" fontId="2" fillId="7" borderId="11" xfId="2" applyFont="1" applyFill="1" applyBorder="1" applyAlignment="1">
      <alignment horizontal="center"/>
    </xf>
    <xf numFmtId="164" fontId="2" fillId="7" borderId="12" xfId="2" applyFont="1" applyFill="1" applyBorder="1" applyAlignment="1">
      <alignment horizontal="center"/>
    </xf>
    <xf numFmtId="164" fontId="3" fillId="8" borderId="13" xfId="2" applyFont="1" applyFill="1" applyBorder="1" applyAlignment="1">
      <alignment horizontal="center"/>
    </xf>
    <xf numFmtId="16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2" borderId="15" xfId="2" applyFont="1" applyFill="1" applyBorder="1" applyAlignment="1">
      <alignment horizontal="center"/>
    </xf>
    <xf numFmtId="164" fontId="2" fillId="2" borderId="17" xfId="2" applyFont="1" applyFill="1" applyBorder="1" applyAlignment="1">
      <alignment horizontal="center"/>
    </xf>
    <xf numFmtId="164" fontId="2" fillId="2" borderId="9" xfId="2" applyFont="1" applyFill="1" applyBorder="1" applyAlignment="1">
      <alignment horizontal="center"/>
    </xf>
    <xf numFmtId="16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164" fontId="2" fillId="2" borderId="20" xfId="2" applyFont="1" applyFill="1" applyBorder="1" applyAlignment="1">
      <alignment horizontal="center"/>
    </xf>
    <xf numFmtId="16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16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64" fontId="0" fillId="0" borderId="27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0" borderId="31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164" fontId="0" fillId="0" borderId="22" xfId="2" applyFont="1" applyFill="1" applyBorder="1" applyAlignment="1">
      <alignment horizontal="center"/>
    </xf>
    <xf numFmtId="16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6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16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" fillId="0" borderId="3" xfId="2" applyFont="1" applyFill="1" applyBorder="1" applyAlignment="1">
      <alignment horizontal="center"/>
    </xf>
    <xf numFmtId="164" fontId="1" fillId="0" borderId="32" xfId="2" applyFont="1" applyFill="1" applyBorder="1" applyAlignment="1">
      <alignment horizontal="center"/>
    </xf>
    <xf numFmtId="16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164" fontId="0" fillId="10" borderId="22" xfId="2" applyFont="1" applyFill="1" applyBorder="1" applyAlignment="1">
      <alignment horizontal="center"/>
    </xf>
    <xf numFmtId="16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16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7" fontId="0" fillId="2" borderId="3" xfId="1" applyNumberFormat="1" applyFont="1" applyFill="1" applyBorder="1" applyAlignment="1">
      <alignment horizontal="center" vertical="center"/>
    </xf>
    <xf numFmtId="167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3" xfId="2" applyFont="1" applyFill="1" applyBorder="1" applyAlignment="1">
      <alignment horizontal="center" vertical="center"/>
    </xf>
    <xf numFmtId="16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164" fontId="0" fillId="2" borderId="22" xfId="2" applyFont="1" applyFill="1" applyBorder="1" applyAlignment="1">
      <alignment horizontal="center"/>
    </xf>
    <xf numFmtId="164" fontId="0" fillId="2" borderId="3" xfId="2" applyFont="1" applyFill="1" applyBorder="1" applyAlignment="1">
      <alignment horizontal="center"/>
    </xf>
    <xf numFmtId="16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16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164" fontId="0" fillId="0" borderId="0" xfId="2" applyFont="1" applyBorder="1" applyAlignment="1">
      <alignment horizontal="center"/>
    </xf>
    <xf numFmtId="16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164" fontId="2" fillId="7" borderId="35" xfId="2" applyFont="1" applyFill="1" applyBorder="1" applyAlignment="1">
      <alignment horizontal="center"/>
    </xf>
    <xf numFmtId="164" fontId="2" fillId="7" borderId="35" xfId="0" applyNumberFormat="1" applyFont="1" applyFill="1" applyBorder="1" applyAlignment="1">
      <alignment horizontal="center"/>
    </xf>
    <xf numFmtId="16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164" fontId="2" fillId="2" borderId="5" xfId="2" applyFont="1" applyFill="1" applyBorder="1" applyAlignment="1">
      <alignment horizontal="center"/>
    </xf>
    <xf numFmtId="164" fontId="2" fillId="2" borderId="36" xfId="2" applyFont="1" applyFill="1" applyBorder="1" applyAlignment="1">
      <alignment horizontal="center"/>
    </xf>
    <xf numFmtId="16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16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16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9" fontId="0" fillId="10" borderId="0" xfId="0" applyNumberFormat="1" applyFill="1" applyAlignment="1">
      <alignment horizontal="center"/>
    </xf>
    <xf numFmtId="169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4" fontId="0" fillId="11" borderId="3" xfId="0" applyNumberFormat="1" applyFill="1" applyBorder="1" applyAlignment="1">
      <alignment horizontal="center" vertical="center"/>
    </xf>
    <xf numFmtId="169" fontId="2" fillId="0" borderId="0" xfId="0" applyNumberFormat="1" applyFont="1"/>
    <xf numFmtId="0" fontId="2" fillId="0" borderId="0" xfId="0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E1" zoomScale="80" zoomScaleNormal="80" workbookViewId="0">
      <selection activeCell="O2" sqref="O2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>
      <c r="B32" s="180" t="s">
        <v>34</v>
      </c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46139</v>
      </c>
      <c r="C4" s="19">
        <v>24</v>
      </c>
      <c r="D4" s="19" t="s">
        <v>20</v>
      </c>
      <c r="E4" s="19" t="s">
        <v>32</v>
      </c>
      <c r="F4" s="19" t="s">
        <v>35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>
      <c r="B5" s="24">
        <v>46151</v>
      </c>
      <c r="C5" s="25">
        <v>40</v>
      </c>
      <c r="D5" s="25" t="s">
        <v>20</v>
      </c>
      <c r="E5" s="25" t="s">
        <v>23</v>
      </c>
      <c r="F5" s="25" t="s">
        <v>35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F1" zoomScale="80" zoomScaleNormal="80" workbookViewId="0">
      <selection activeCell="R20" sqref="R20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1757</v>
      </c>
      <c r="H2" s="5">
        <f>SUM(H4:H495)</f>
        <v>1757</v>
      </c>
      <c r="I2" s="6">
        <f>SUM(I4:I495)</f>
        <v>0</v>
      </c>
      <c r="J2" s="7">
        <f>SUM(J4:J495)</f>
        <v>0</v>
      </c>
      <c r="K2" s="8">
        <f>R2/H2</f>
        <v>443.04539726807059</v>
      </c>
      <c r="L2" s="8">
        <f>O2/(G2*17)</f>
        <v>28.957215507717034</v>
      </c>
      <c r="M2" s="8">
        <f>SUM(M4:M495)</f>
        <v>864923.07000000007</v>
      </c>
      <c r="N2" s="8">
        <f>SUM(N4:N495)</f>
        <v>0</v>
      </c>
      <c r="O2" s="8">
        <f>SUM(O4:O495)</f>
        <v>864923.07000000007</v>
      </c>
      <c r="P2" s="9">
        <f>Q2/O2</f>
        <v>9.9999999999999992E-2</v>
      </c>
      <c r="Q2" s="8">
        <f>SUM(Q4:Q495)</f>
        <v>86492.307000000001</v>
      </c>
      <c r="R2" s="10">
        <f>SUM(R4:R495)</f>
        <v>778430.76300000004</v>
      </c>
      <c r="S2" s="10">
        <f>SUM(S4:S495)</f>
        <v>0</v>
      </c>
      <c r="T2" s="10">
        <f>SUM(T4:T495)</f>
        <v>778430.76300000004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46135</v>
      </c>
      <c r="C4" s="19">
        <v>19</v>
      </c>
      <c r="D4" s="19" t="s">
        <v>20</v>
      </c>
      <c r="E4" s="19" t="s">
        <v>29</v>
      </c>
      <c r="F4" s="19" t="s">
        <v>36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>
      <c r="B5" s="24">
        <v>46140</v>
      </c>
      <c r="C5" s="25">
        <v>25</v>
      </c>
      <c r="D5" s="25" t="s">
        <v>20</v>
      </c>
      <c r="E5" s="25" t="s">
        <v>21</v>
      </c>
      <c r="F5" s="25" t="s">
        <v>36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>
      <c r="B6" s="24">
        <v>46142</v>
      </c>
      <c r="C6" s="25">
        <v>26</v>
      </c>
      <c r="D6" s="25" t="s">
        <v>20</v>
      </c>
      <c r="E6" s="25" t="s">
        <v>29</v>
      </c>
      <c r="F6" s="25" t="s">
        <v>36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>
      <c r="B7" s="24">
        <v>46144</v>
      </c>
      <c r="C7" s="25">
        <v>31</v>
      </c>
      <c r="D7" s="25" t="s">
        <v>20</v>
      </c>
      <c r="E7" s="25" t="s">
        <v>21</v>
      </c>
      <c r="F7" s="25" t="s">
        <v>36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>
      <c r="B8" s="24">
        <v>46147</v>
      </c>
      <c r="C8" s="25">
        <v>33</v>
      </c>
      <c r="D8" s="25" t="s">
        <v>20</v>
      </c>
      <c r="E8" s="25" t="s">
        <v>24</v>
      </c>
      <c r="F8" s="25" t="s">
        <v>36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>
      <c r="B9" s="24">
        <v>46149</v>
      </c>
      <c r="C9" s="25">
        <v>35</v>
      </c>
      <c r="D9" s="25" t="s">
        <v>20</v>
      </c>
      <c r="E9" s="25" t="s">
        <v>23</v>
      </c>
      <c r="F9" s="25" t="s">
        <v>36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>
      <c r="B10" s="24">
        <v>46150</v>
      </c>
      <c r="C10" s="25">
        <v>38</v>
      </c>
      <c r="D10" s="25" t="s">
        <v>20</v>
      </c>
      <c r="E10" s="25" t="s">
        <v>23</v>
      </c>
      <c r="F10" s="25" t="s">
        <v>36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>
      <c r="B11" s="24">
        <v>46150</v>
      </c>
      <c r="C11" s="25">
        <v>39</v>
      </c>
      <c r="D11" s="25" t="s">
        <v>20</v>
      </c>
      <c r="E11" s="25" t="s">
        <v>21</v>
      </c>
      <c r="F11" s="25" t="s">
        <v>36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>
      <c r="B12" s="24">
        <v>46151</v>
      </c>
      <c r="C12" s="25">
        <v>41</v>
      </c>
      <c r="D12" s="25" t="s">
        <v>20</v>
      </c>
      <c r="E12" s="25" t="s">
        <v>32</v>
      </c>
      <c r="F12" s="25" t="s">
        <v>36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>
      <c r="B13" s="24">
        <v>46153</v>
      </c>
      <c r="C13" s="25">
        <v>42</v>
      </c>
      <c r="D13" s="25" t="s">
        <v>20</v>
      </c>
      <c r="E13" s="25" t="s">
        <v>37</v>
      </c>
      <c r="F13" s="25" t="s">
        <v>36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>
      <c r="B14" s="24">
        <v>46153</v>
      </c>
      <c r="C14" s="25">
        <v>43</v>
      </c>
      <c r="D14" s="25" t="s">
        <v>20</v>
      </c>
      <c r="E14" s="25" t="s">
        <v>23</v>
      </c>
      <c r="F14" s="25" t="s">
        <v>36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>
      <c r="B15" s="24">
        <v>46153</v>
      </c>
      <c r="C15" s="25">
        <v>44</v>
      </c>
      <c r="D15" s="25" t="s">
        <v>20</v>
      </c>
      <c r="E15" s="25" t="s">
        <v>29</v>
      </c>
      <c r="F15" s="25" t="s">
        <v>36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>
      <c r="B16" s="24">
        <v>46153</v>
      </c>
      <c r="C16" s="25">
        <v>45</v>
      </c>
      <c r="D16" s="25" t="s">
        <v>20</v>
      </c>
      <c r="E16" s="25" t="s">
        <v>25</v>
      </c>
      <c r="F16" s="25" t="s">
        <v>36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>
      <c r="B17" s="24">
        <v>46155</v>
      </c>
      <c r="C17" s="25">
        <v>47</v>
      </c>
      <c r="D17" s="25" t="s">
        <v>20</v>
      </c>
      <c r="E17" s="25" t="s">
        <v>23</v>
      </c>
      <c r="F17" s="25" t="s">
        <v>36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>
      <c r="B18" s="24">
        <v>46155</v>
      </c>
      <c r="C18" s="25">
        <v>48</v>
      </c>
      <c r="D18" s="25" t="s">
        <v>20</v>
      </c>
      <c r="E18" s="25" t="s">
        <v>37</v>
      </c>
      <c r="F18" s="25" t="s">
        <v>36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>
      <c r="B19" s="24">
        <v>46155</v>
      </c>
      <c r="C19" s="25">
        <v>49</v>
      </c>
      <c r="D19" s="25" t="s">
        <v>20</v>
      </c>
      <c r="E19" s="25" t="s">
        <v>23</v>
      </c>
      <c r="F19" s="25" t="s">
        <v>36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/>
      <c r="M20" s="41"/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zoomScale="80" zoomScaleNormal="80" workbookViewId="0">
      <selection activeCell="J2" sqref="J2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10.55028957586768</v>
      </c>
      <c r="J1" s="140" t="s">
        <v>39</v>
      </c>
    </row>
    <row r="2" spans="2:16" ht="16.5" thickBot="1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40</v>
      </c>
      <c r="O2" s="46" t="s">
        <v>41</v>
      </c>
    </row>
    <row r="3" spans="2:16" ht="15.75" thickBot="1">
      <c r="B3" s="57" t="s">
        <v>1</v>
      </c>
      <c r="C3" s="58" t="s">
        <v>2</v>
      </c>
      <c r="D3" s="59" t="s">
        <v>42</v>
      </c>
      <c r="E3" s="59" t="s">
        <v>4</v>
      </c>
      <c r="F3" s="60" t="s">
        <v>43</v>
      </c>
      <c r="G3" s="61" t="s">
        <v>10</v>
      </c>
      <c r="H3" s="62" t="s">
        <v>13</v>
      </c>
      <c r="I3" s="63" t="s">
        <v>44</v>
      </c>
      <c r="J3" s="64" t="s">
        <v>45</v>
      </c>
      <c r="K3" s="65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07">
        <f>Tomatillo!B4</f>
        <v>46128</v>
      </c>
      <c r="C4" s="108">
        <f>Tomatillo!C4</f>
        <v>1</v>
      </c>
      <c r="D4" s="108" t="s">
        <v>47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48</v>
      </c>
      <c r="K4" s="68">
        <f>[1]VENTAS!R2</f>
        <v>691969.5</v>
      </c>
      <c r="L4" s="56" t="s">
        <v>49</v>
      </c>
      <c r="N4" s="69">
        <v>46128</v>
      </c>
      <c r="O4" s="70">
        <v>36720</v>
      </c>
    </row>
    <row r="5" spans="2:16" ht="15.75" thickBot="1">
      <c r="B5" s="107">
        <f>Tomatillo!B5</f>
        <v>46128</v>
      </c>
      <c r="C5" s="108">
        <f>Tomatillo!C5</f>
        <v>2</v>
      </c>
      <c r="D5" s="113" t="s">
        <v>50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48</v>
      </c>
      <c r="N5" s="71">
        <v>46129</v>
      </c>
      <c r="O5" s="72">
        <v>78948</v>
      </c>
      <c r="P5" s="141"/>
    </row>
    <row r="6" spans="2:16" ht="15.75" thickBot="1">
      <c r="B6" s="107">
        <f>Tomatillo!B6</f>
        <v>46128</v>
      </c>
      <c r="C6" s="108">
        <f>Tomatillo!C6</f>
        <v>3</v>
      </c>
      <c r="D6" s="113" t="s">
        <v>51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48</v>
      </c>
      <c r="N6" s="71">
        <v>46133</v>
      </c>
      <c r="O6" s="72">
        <v>40086</v>
      </c>
    </row>
    <row r="7" spans="2:16" ht="15.75" thickBot="1">
      <c r="B7" s="107">
        <f>Tomatillo!B7</f>
        <v>46128</v>
      </c>
      <c r="C7" s="108">
        <f>Tomatillo!C7</f>
        <v>4</v>
      </c>
      <c r="D7" s="113" t="s">
        <v>52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48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>
      <c r="B8" s="107">
        <f>Tomatillo!B8</f>
        <v>46128</v>
      </c>
      <c r="C8" s="108">
        <f>Tomatillo!C8</f>
        <v>5</v>
      </c>
      <c r="D8" s="113" t="s">
        <v>53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48</v>
      </c>
      <c r="K8" s="73"/>
      <c r="N8" s="71">
        <v>46136</v>
      </c>
      <c r="O8" s="72">
        <v>100000</v>
      </c>
    </row>
    <row r="9" spans="2:16" ht="15.75" thickBot="1">
      <c r="B9" s="107">
        <f>Tomatillo!B9</f>
        <v>46129</v>
      </c>
      <c r="C9" s="108">
        <f>Tomatillo!C9</f>
        <v>7</v>
      </c>
      <c r="D9" s="113" t="s">
        <v>54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48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>
      <c r="B10" s="107">
        <f>Tomatillo!B10</f>
        <v>46129</v>
      </c>
      <c r="C10" s="108">
        <f>Tomatillo!C10</f>
        <v>9</v>
      </c>
      <c r="D10" s="113" t="s">
        <v>55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48</v>
      </c>
      <c r="K10" s="73">
        <f t="shared" si="1"/>
        <v>13</v>
      </c>
      <c r="N10" s="71">
        <v>46136</v>
      </c>
      <c r="O10" s="72">
        <v>5530</v>
      </c>
    </row>
    <row r="11" spans="2:16" ht="15.75" thickBot="1">
      <c r="B11" s="116">
        <f>Tomatillo!B11</f>
        <v>46129</v>
      </c>
      <c r="C11" s="81">
        <f>Tomatillo!C11</f>
        <v>10</v>
      </c>
      <c r="D11" s="85" t="s">
        <v>56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57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>
      <c r="B12" s="107">
        <f>Tomatillo!B12</f>
        <v>46130</v>
      </c>
      <c r="C12" s="108">
        <f>Tomatillo!C12</f>
        <v>11</v>
      </c>
      <c r="D12" s="113" t="s">
        <v>58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48</v>
      </c>
      <c r="K12" s="73">
        <f t="shared" si="1"/>
        <v>14</v>
      </c>
      <c r="N12" s="71">
        <v>46142</v>
      </c>
      <c r="O12" s="72">
        <v>110976</v>
      </c>
    </row>
    <row r="13" spans="2:16" ht="15.75" thickBot="1">
      <c r="B13" s="107">
        <f>Tomatillo!B13</f>
        <v>46130</v>
      </c>
      <c r="C13" s="108">
        <f>Tomatillo!C13</f>
        <v>12</v>
      </c>
      <c r="D13" s="113" t="s">
        <v>59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48</v>
      </c>
      <c r="K13" s="73">
        <f t="shared" si="1"/>
        <v>17</v>
      </c>
      <c r="N13" s="71">
        <v>46150</v>
      </c>
      <c r="O13" s="72">
        <v>7021</v>
      </c>
    </row>
    <row r="14" spans="2:16" ht="15.75" thickBot="1">
      <c r="B14" s="107">
        <f>Tomatillo!B14</f>
        <v>46132</v>
      </c>
      <c r="C14" s="108">
        <f>Tomatillo!C14</f>
        <v>13</v>
      </c>
      <c r="D14" s="113" t="s">
        <v>60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48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>
      <c r="B15" s="107">
        <f>Tomatillo!B15</f>
        <v>46132</v>
      </c>
      <c r="C15" s="108">
        <f>Tomatillo!C15</f>
        <v>14</v>
      </c>
      <c r="D15" s="113" t="s">
        <v>61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48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>
      <c r="B16" s="107">
        <f>Tomatillo!B16</f>
        <v>46133</v>
      </c>
      <c r="C16" s="108">
        <f>Tomatillo!C16</f>
        <v>16</v>
      </c>
      <c r="D16" s="113" t="s">
        <v>62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48</v>
      </c>
      <c r="N16" s="71"/>
      <c r="O16" s="72"/>
    </row>
    <row r="17" spans="2:15" ht="15.75" thickBot="1">
      <c r="B17" s="128">
        <f>Tomatillo!B17</f>
        <v>46133</v>
      </c>
      <c r="C17" s="129">
        <f>Tomatillo!C17</f>
        <v>16</v>
      </c>
      <c r="D17" s="130" t="s">
        <v>62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>
      <c r="B18" s="136">
        <f>Tomatillo!B18</f>
        <v>46134</v>
      </c>
      <c r="C18" s="81">
        <f>Tomatillo!C18</f>
        <v>17</v>
      </c>
      <c r="D18" s="85" t="s">
        <v>63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57</v>
      </c>
      <c r="N18" s="71"/>
      <c r="O18" s="72"/>
    </row>
    <row r="19" spans="2:15" ht="15.75" thickBot="1">
      <c r="B19" s="107">
        <f>Tomatillo!B19</f>
        <v>46134</v>
      </c>
      <c r="C19" s="108">
        <f>Tomatillo!C19</f>
        <v>18</v>
      </c>
      <c r="D19" s="113" t="s">
        <v>64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48</v>
      </c>
      <c r="N19" s="71"/>
      <c r="O19" s="72"/>
    </row>
    <row r="20" spans="2:15" ht="15.75" thickBot="1">
      <c r="B20" s="107">
        <f>Tomatillo!B20</f>
        <v>46136</v>
      </c>
      <c r="C20" s="108">
        <f>Tomatillo!C20</f>
        <v>20</v>
      </c>
      <c r="D20" s="163" t="s">
        <v>65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48</v>
      </c>
      <c r="N20" s="71"/>
      <c r="O20" s="72"/>
    </row>
    <row r="21" spans="2:15" ht="15.75" thickBot="1">
      <c r="B21" s="107">
        <f>Tomatillo!B21</f>
        <v>46046</v>
      </c>
      <c r="C21" s="108">
        <f>Tomatillo!C21</f>
        <v>21</v>
      </c>
      <c r="D21" s="158" t="s">
        <v>66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48</v>
      </c>
      <c r="N21" s="71"/>
      <c r="O21" s="72"/>
    </row>
    <row r="22" spans="2:15" ht="15.75" thickBot="1">
      <c r="B22" s="136">
        <f>Tomatillo!B22</f>
        <v>46137</v>
      </c>
      <c r="C22" s="81">
        <f>Tomatillo!C22</f>
        <v>23</v>
      </c>
      <c r="D22" s="161" t="s">
        <v>67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57</v>
      </c>
      <c r="N22" s="71"/>
      <c r="O22" s="72"/>
    </row>
    <row r="23" spans="2:15" ht="15.75" thickBot="1">
      <c r="B23" s="136">
        <f>Tomatillo!B23</f>
        <v>46142</v>
      </c>
      <c r="C23" s="81">
        <f>Tomatillo!C23</f>
        <v>27</v>
      </c>
      <c r="D23" s="161" t="s">
        <v>68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57</v>
      </c>
      <c r="N23" s="71"/>
      <c r="O23" s="72"/>
    </row>
    <row r="24" spans="2:15" ht="15.75" thickBot="1">
      <c r="B24" s="136">
        <f>Tomatillo!B24</f>
        <v>46142</v>
      </c>
      <c r="C24" s="81">
        <f>Tomatillo!C24</f>
        <v>28</v>
      </c>
      <c r="D24" s="161" t="s">
        <v>69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57</v>
      </c>
      <c r="N24" s="71"/>
      <c r="O24" s="72"/>
    </row>
    <row r="25" spans="2:15" ht="15.75" thickBot="1">
      <c r="B25" s="136">
        <f>Tomatillo!B25</f>
        <v>46143</v>
      </c>
      <c r="C25" s="81">
        <f>Tomatillo!C25</f>
        <v>29</v>
      </c>
      <c r="D25" s="161" t="s">
        <v>70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57</v>
      </c>
      <c r="N25" s="71"/>
      <c r="O25" s="72"/>
    </row>
    <row r="26" spans="2:15" ht="15.75" thickBot="1">
      <c r="B26" s="136">
        <f>Tomatillo!B26</f>
        <v>46146</v>
      </c>
      <c r="C26" s="81">
        <f>Tomatillo!C26</f>
        <v>32</v>
      </c>
      <c r="D26" s="85" t="s">
        <v>71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57</v>
      </c>
      <c r="N26" s="71"/>
      <c r="O26" s="72"/>
    </row>
    <row r="27" spans="2:15" ht="15.75" thickBot="1">
      <c r="B27" s="136">
        <f>Tomatillo!B27</f>
        <v>46147</v>
      </c>
      <c r="C27" s="81">
        <f>Tomatillo!C27</f>
        <v>34</v>
      </c>
      <c r="D27" s="86" t="s">
        <v>72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57</v>
      </c>
      <c r="N27" s="71"/>
      <c r="O27" s="72"/>
    </row>
    <row r="28" spans="2:15" ht="15.75" thickBot="1">
      <c r="B28" s="107">
        <f>Tomatillo!B28</f>
        <v>46149</v>
      </c>
      <c r="C28" s="108">
        <f>Tomatillo!C28</f>
        <v>35</v>
      </c>
      <c r="D28" s="113" t="s">
        <v>73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48</v>
      </c>
      <c r="N28" s="71"/>
      <c r="O28" s="72"/>
    </row>
    <row r="29" spans="2:15" ht="15.75" thickBot="1">
      <c r="B29" s="107">
        <f>Tomatillo!B29</f>
        <v>46149</v>
      </c>
      <c r="C29" s="108">
        <f>Tomatillo!C29</f>
        <v>36</v>
      </c>
      <c r="D29" s="113" t="s">
        <v>74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48</v>
      </c>
      <c r="N29" s="71"/>
      <c r="O29" s="72"/>
    </row>
    <row r="30" spans="2:15" ht="15.75" thickBot="1">
      <c r="B30" s="107">
        <f>Tomatillo!B30</f>
        <v>46150</v>
      </c>
      <c r="C30" s="108">
        <f>Tomatillo!C30</f>
        <v>37</v>
      </c>
      <c r="D30" s="163" t="s">
        <v>75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48</v>
      </c>
      <c r="N30" s="71"/>
      <c r="O30" s="72"/>
    </row>
    <row r="31" spans="2:15" ht="15.75" thickBot="1">
      <c r="B31" s="107">
        <f>Tomatillo!B31</f>
        <v>46154</v>
      </c>
      <c r="C31" s="108">
        <f>Tomatillo!C31</f>
        <v>46</v>
      </c>
      <c r="D31" s="113" t="s">
        <v>76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48</v>
      </c>
      <c r="N31" s="71"/>
      <c r="O31" s="72"/>
    </row>
    <row r="32" spans="2:1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77</v>
      </c>
      <c r="O41" s="67">
        <f>Tomatillo!Q2</f>
        <v>92709.664000000019</v>
      </c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78</v>
      </c>
      <c r="O43" s="67">
        <f>Tomatillo!T2</f>
        <v>964228.89600000007</v>
      </c>
    </row>
    <row r="44" spans="2:15" ht="15.75" thickBot="1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79</v>
      </c>
      <c r="O45" s="67">
        <f>+O43+O41-O39</f>
        <v>325106.56000000006</v>
      </c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</row>
    <row r="47" spans="2:1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>
      <c r="B54" s="96"/>
      <c r="C54" s="87"/>
      <c r="D54" s="86"/>
      <c r="E54" s="87"/>
      <c r="F54" s="97"/>
      <c r="G54" s="88"/>
      <c r="H54" s="88"/>
      <c r="I54" s="88"/>
      <c r="J54" s="9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96"/>
      <c r="C60" s="87"/>
      <c r="D60" s="86"/>
      <c r="E60" s="87"/>
      <c r="F60" s="97"/>
      <c r="G60" s="88"/>
      <c r="H60" s="88"/>
      <c r="I60" s="88"/>
      <c r="J60" s="90"/>
    </row>
    <row r="61" spans="2:16">
      <c r="B61" s="96"/>
      <c r="C61" s="87"/>
      <c r="D61" s="86"/>
      <c r="E61" s="87"/>
      <c r="F61" s="97"/>
      <c r="G61" s="88"/>
      <c r="H61" s="88"/>
      <c r="I61" s="88"/>
      <c r="J61" s="90"/>
    </row>
    <row r="62" spans="2:16">
      <c r="B62" s="96"/>
      <c r="C62" s="87"/>
      <c r="D62" s="86"/>
      <c r="E62" s="87"/>
      <c r="F62" s="97"/>
      <c r="G62" s="88"/>
      <c r="H62" s="88"/>
      <c r="I62" s="88"/>
      <c r="J62" s="90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96"/>
      <c r="C66" s="87"/>
      <c r="D66" s="86"/>
      <c r="E66" s="87"/>
      <c r="F66" s="97"/>
      <c r="G66" s="88"/>
      <c r="H66" s="88"/>
      <c r="I66" s="88"/>
      <c r="J66" s="90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96"/>
      <c r="C69" s="87"/>
      <c r="D69" s="86"/>
      <c r="E69" s="87"/>
      <c r="F69" s="97"/>
      <c r="G69" s="88"/>
      <c r="H69" s="88"/>
      <c r="I69" s="88"/>
      <c r="J69" s="90"/>
    </row>
    <row r="70" spans="2:10">
      <c r="B70" s="96"/>
      <c r="C70" s="87"/>
      <c r="D70" s="86"/>
      <c r="E70" s="87"/>
      <c r="F70" s="97"/>
      <c r="G70" s="88"/>
      <c r="H70" s="88"/>
      <c r="I70" s="88"/>
      <c r="J70" s="90"/>
    </row>
    <row r="71" spans="2:10">
      <c r="B71" s="96"/>
      <c r="C71" s="87"/>
      <c r="D71" s="86"/>
      <c r="E71" s="87"/>
      <c r="F71" s="97"/>
      <c r="G71" s="88"/>
      <c r="H71" s="88"/>
      <c r="I71" s="88"/>
      <c r="J71" s="90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2"/>
    </row>
    <row r="74" spans="2:10">
      <c r="B74" s="24"/>
      <c r="C74" s="25"/>
      <c r="D74" s="85"/>
      <c r="E74" s="25"/>
      <c r="F74" s="95"/>
      <c r="G74" s="75"/>
      <c r="H74" s="75"/>
      <c r="I74" s="75"/>
      <c r="J74" s="98"/>
    </row>
    <row r="75" spans="2:10">
      <c r="B75" s="96"/>
      <c r="C75" s="87"/>
      <c r="D75" s="86"/>
      <c r="E75" s="87"/>
      <c r="F75" s="97"/>
      <c r="G75" s="88"/>
      <c r="H75" s="88"/>
      <c r="I75" s="88"/>
      <c r="J75" s="90"/>
    </row>
    <row r="76" spans="2:10">
      <c r="B76" s="96"/>
      <c r="C76" s="87"/>
      <c r="D76" s="86"/>
      <c r="E76" s="87"/>
      <c r="F76" s="97"/>
      <c r="G76" s="88"/>
      <c r="H76" s="88"/>
      <c r="I76" s="88"/>
      <c r="J76" s="99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96"/>
      <c r="C79" s="87"/>
      <c r="D79" s="86"/>
      <c r="E79" s="87"/>
      <c r="F79" s="97"/>
      <c r="G79" s="88"/>
      <c r="H79" s="88"/>
      <c r="I79" s="88"/>
      <c r="J79" s="90"/>
    </row>
    <row r="80" spans="2:10">
      <c r="B80" s="96"/>
      <c r="C80" s="87"/>
      <c r="D80" s="86"/>
      <c r="E80" s="87"/>
      <c r="F80" s="97"/>
      <c r="G80" s="88"/>
      <c r="H80" s="88"/>
      <c r="I80" s="88"/>
      <c r="J80" s="90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96"/>
      <c r="C82" s="87"/>
      <c r="D82" s="86"/>
      <c r="E82" s="87"/>
      <c r="F82" s="97"/>
      <c r="G82" s="88"/>
      <c r="H82" s="88"/>
      <c r="I82" s="88"/>
      <c r="J82" s="90"/>
    </row>
    <row r="83" spans="2:10">
      <c r="B83" s="96"/>
      <c r="C83" s="87"/>
      <c r="D83" s="86"/>
      <c r="E83" s="87"/>
      <c r="F83" s="97"/>
      <c r="G83" s="88"/>
      <c r="H83" s="88"/>
      <c r="I83" s="88"/>
      <c r="J83" s="90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96"/>
      <c r="C85" s="87"/>
      <c r="D85" s="86"/>
      <c r="E85" s="87"/>
      <c r="F85" s="97"/>
      <c r="G85" s="88"/>
      <c r="H85" s="88"/>
      <c r="I85" s="88"/>
      <c r="J85" s="90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96"/>
      <c r="C87" s="87"/>
      <c r="D87" s="86"/>
      <c r="E87" s="87"/>
      <c r="F87" s="97"/>
      <c r="G87" s="88"/>
      <c r="H87" s="88"/>
      <c r="I87" s="75"/>
      <c r="J87" s="90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96"/>
      <c r="C89" s="87"/>
      <c r="D89" s="86"/>
      <c r="E89" s="87"/>
      <c r="F89" s="97"/>
      <c r="G89" s="88"/>
      <c r="H89" s="88"/>
      <c r="I89" s="88"/>
      <c r="J89" s="90"/>
    </row>
    <row r="90" spans="2:10">
      <c r="B90" s="24"/>
      <c r="C90" s="25"/>
      <c r="D90" s="85"/>
      <c r="E90" s="25"/>
      <c r="F90" s="95"/>
      <c r="G90" s="100"/>
      <c r="H90" s="75"/>
      <c r="I90" s="88"/>
      <c r="J90" s="92"/>
    </row>
    <row r="91" spans="2:10">
      <c r="B91" s="24"/>
      <c r="C91" s="25"/>
      <c r="D91" s="85"/>
      <c r="E91" s="25"/>
      <c r="F91" s="95"/>
      <c r="G91" s="100"/>
      <c r="H91" s="88"/>
      <c r="I91" s="88"/>
      <c r="J91" s="92"/>
    </row>
    <row r="92" spans="2:10">
      <c r="B92" s="96"/>
      <c r="C92" s="87"/>
      <c r="D92" s="86"/>
      <c r="E92" s="87"/>
      <c r="F92" s="97"/>
      <c r="G92" s="101"/>
      <c r="H92" s="102"/>
      <c r="I92" s="93"/>
      <c r="J92" s="103"/>
    </row>
    <row r="93" spans="2:10">
      <c r="B93" s="24"/>
      <c r="C93" s="85"/>
      <c r="D93" s="85"/>
      <c r="E93" s="25"/>
      <c r="F93" s="95"/>
      <c r="G93" s="75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24"/>
      <c r="C97" s="85"/>
      <c r="D97" s="85"/>
      <c r="E97" s="25"/>
      <c r="F97" s="95"/>
      <c r="G97" s="100"/>
      <c r="H97" s="75"/>
      <c r="I97" s="75"/>
      <c r="J97" s="92"/>
    </row>
    <row r="98" spans="2:10">
      <c r="B98" s="91"/>
      <c r="C98" s="85"/>
      <c r="D98" s="85"/>
      <c r="E98" s="85"/>
      <c r="F98" s="25"/>
      <c r="G98" s="75"/>
      <c r="H98" s="75"/>
      <c r="I98" s="75"/>
      <c r="J98" s="94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A10" zoomScale="80" zoomScaleNormal="80" workbookViewId="0">
      <selection activeCell="L17" sqref="L17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28.964809075630253</v>
      </c>
      <c r="J1" s="140" t="s">
        <v>39</v>
      </c>
    </row>
    <row r="2" spans="2:16" ht="16.5" thickBot="1">
      <c r="C2" s="144" t="s">
        <v>17</v>
      </c>
      <c r="F2" s="145">
        <f>SUM(F4:F390)</f>
        <v>1750</v>
      </c>
      <c r="G2" s="146">
        <f>I2/F2</f>
        <v>492.40175428571433</v>
      </c>
      <c r="H2" s="147">
        <f>SUM(H4:H390)</f>
        <v>0</v>
      </c>
      <c r="I2" s="53">
        <f>SUM(I4:I390)</f>
        <v>861703.07000000007</v>
      </c>
      <c r="J2" s="148">
        <f>O38</f>
        <v>702245</v>
      </c>
      <c r="K2" s="55">
        <f>O44</f>
        <v>162678.07000000007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v>46135</v>
      </c>
      <c r="C4" s="150">
        <v>19</v>
      </c>
      <c r="D4" s="150" t="s">
        <v>80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57</v>
      </c>
      <c r="K4" s="142">
        <f>[1]VENTAS!R2</f>
        <v>691969.5</v>
      </c>
      <c r="L4" s="56" t="s">
        <v>49</v>
      </c>
      <c r="N4" s="69">
        <v>46140</v>
      </c>
      <c r="O4" s="70">
        <v>54225</v>
      </c>
    </row>
    <row r="5" spans="2:16">
      <c r="B5" s="173">
        <f>Roma!B5</f>
        <v>46140</v>
      </c>
      <c r="C5" s="113">
        <f>Roma!C5</f>
        <v>25</v>
      </c>
      <c r="D5" s="113" t="s">
        <v>81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48</v>
      </c>
      <c r="N5" s="71">
        <v>46142</v>
      </c>
      <c r="O5" s="72">
        <v>65460</v>
      </c>
      <c r="P5" s="141"/>
    </row>
    <row r="6" spans="2:16">
      <c r="B6" s="173">
        <f>Roma!B6</f>
        <v>46142</v>
      </c>
      <c r="C6" s="113">
        <f>Roma!C6</f>
        <v>26</v>
      </c>
      <c r="D6" s="113" t="s">
        <v>82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48</v>
      </c>
      <c r="N6" s="71">
        <v>46146</v>
      </c>
      <c r="O6" s="72">
        <v>110950</v>
      </c>
    </row>
    <row r="7" spans="2:16">
      <c r="B7" s="173">
        <f>Roma!B7</f>
        <v>46144</v>
      </c>
      <c r="C7" s="113">
        <f>Roma!C7</f>
        <v>31</v>
      </c>
      <c r="D7" s="113" t="s">
        <v>83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48</v>
      </c>
      <c r="K7" s="73"/>
      <c r="N7" s="71">
        <v>46148</v>
      </c>
      <c r="O7" s="72">
        <v>134840</v>
      </c>
    </row>
    <row r="8" spans="2:16">
      <c r="B8" s="173">
        <f>Roma!B8</f>
        <v>46147</v>
      </c>
      <c r="C8" s="113">
        <f>Roma!C8</f>
        <v>33</v>
      </c>
      <c r="D8" s="113" t="s">
        <v>84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48</v>
      </c>
      <c r="K8" s="73"/>
      <c r="N8" s="71">
        <v>46150</v>
      </c>
      <c r="O8" s="72">
        <f>108000+24000+620</f>
        <v>132620</v>
      </c>
    </row>
    <row r="9" spans="2:16">
      <c r="B9" s="173">
        <f>Roma!B9</f>
        <v>46149</v>
      </c>
      <c r="C9" s="113">
        <f>Roma!C9</f>
        <v>35</v>
      </c>
      <c r="D9" s="113" t="s">
        <v>73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48</v>
      </c>
      <c r="K9" s="73"/>
      <c r="N9" s="71">
        <v>46154</v>
      </c>
      <c r="O9" s="72">
        <v>145550</v>
      </c>
    </row>
    <row r="10" spans="2:16">
      <c r="B10" s="173">
        <f>Roma!B10</f>
        <v>46150</v>
      </c>
      <c r="C10" s="113">
        <f>Roma!C10</f>
        <v>38</v>
      </c>
      <c r="D10" s="113" t="s">
        <v>85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48</v>
      </c>
      <c r="K10" s="73"/>
      <c r="N10" s="71">
        <v>46155</v>
      </c>
      <c r="O10" s="72">
        <v>58600</v>
      </c>
    </row>
    <row r="11" spans="2:16">
      <c r="B11" s="173">
        <f>Roma!B11</f>
        <v>46150</v>
      </c>
      <c r="C11" s="113">
        <f>Roma!C11</f>
        <v>39</v>
      </c>
      <c r="D11" s="113" t="s">
        <v>86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48</v>
      </c>
      <c r="K11" s="73"/>
      <c r="L11" s="79"/>
      <c r="N11" s="71"/>
      <c r="O11" s="72"/>
    </row>
    <row r="12" spans="2:16">
      <c r="B12" s="173">
        <f>Roma!B13</f>
        <v>46153</v>
      </c>
      <c r="C12" s="113">
        <f>Roma!C13</f>
        <v>42</v>
      </c>
      <c r="D12" s="113" t="s">
        <v>87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48</v>
      </c>
      <c r="K12" s="73"/>
      <c r="N12" s="71"/>
      <c r="O12" s="72"/>
    </row>
    <row r="13" spans="2:16">
      <c r="B13" s="173">
        <f>Roma!B14</f>
        <v>46153</v>
      </c>
      <c r="C13" s="113">
        <f>Roma!C14</f>
        <v>43</v>
      </c>
      <c r="D13" s="113" t="s">
        <v>88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48</v>
      </c>
      <c r="K13" s="73"/>
      <c r="N13" s="71"/>
      <c r="O13" s="72"/>
    </row>
    <row r="14" spans="2:16">
      <c r="B14" s="173">
        <f>Roma!B15</f>
        <v>46153</v>
      </c>
      <c r="C14" s="113">
        <f>Roma!C15</f>
        <v>44</v>
      </c>
      <c r="D14" s="113" t="s">
        <v>89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48</v>
      </c>
      <c r="K14" s="73"/>
      <c r="L14" s="74"/>
      <c r="M14" s="74"/>
      <c r="N14" s="71"/>
      <c r="O14" s="72"/>
    </row>
    <row r="15" spans="2:16">
      <c r="B15" s="91">
        <f>Roma!B16</f>
        <v>46153</v>
      </c>
      <c r="C15" s="85">
        <f>Roma!C16</f>
        <v>45</v>
      </c>
      <c r="D15" s="85" t="s">
        <v>90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57</v>
      </c>
      <c r="K15" s="73"/>
      <c r="L15" s="74"/>
      <c r="M15" s="74"/>
      <c r="N15" s="71"/>
      <c r="O15" s="72"/>
    </row>
    <row r="16" spans="2:16">
      <c r="B16" s="173">
        <f>Roma!B17</f>
        <v>46155</v>
      </c>
      <c r="C16" s="113">
        <f>Roma!C17</f>
        <v>47</v>
      </c>
      <c r="D16" s="113" t="s">
        <v>91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48</v>
      </c>
      <c r="N16" s="71"/>
      <c r="O16" s="72"/>
    </row>
    <row r="17" spans="2:15">
      <c r="B17" s="173">
        <f>Roma!B18</f>
        <v>46155</v>
      </c>
      <c r="C17" s="113">
        <f>Roma!C18</f>
        <v>48</v>
      </c>
      <c r="D17" s="113" t="s">
        <v>92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48</v>
      </c>
      <c r="N17" s="71"/>
      <c r="O17" s="72"/>
    </row>
    <row r="18" spans="2:15">
      <c r="B18" s="91">
        <f>Roma!B19</f>
        <v>46155</v>
      </c>
      <c r="C18" s="85">
        <f>Roma!C19</f>
        <v>49</v>
      </c>
      <c r="D18" s="85" t="s">
        <v>93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57</v>
      </c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Roma!Q2</f>
        <v>86492.307000000001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+Roma!R2</f>
        <v>778430.76300000004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162678.07000000007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I9" sqref="I9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14.937611408199643</v>
      </c>
      <c r="J1" s="140" t="s">
        <v>39</v>
      </c>
    </row>
    <row r="2" spans="2:16" ht="16.5" thickBot="1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f>Morrón!B4</f>
        <v>46139</v>
      </c>
      <c r="C4" s="150">
        <f>Morrón!C4</f>
        <v>24</v>
      </c>
      <c r="D4" s="150" t="s">
        <v>94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57</v>
      </c>
      <c r="K4" s="142">
        <f>[1]VENTAS!R2</f>
        <v>691969.5</v>
      </c>
      <c r="L4" s="56" t="s">
        <v>49</v>
      </c>
      <c r="N4" s="69">
        <v>46154</v>
      </c>
      <c r="O4" s="70">
        <v>5980</v>
      </c>
    </row>
    <row r="5" spans="2:16">
      <c r="B5" s="176">
        <f>Morrón!B5</f>
        <v>46151</v>
      </c>
      <c r="C5" s="177">
        <f>Morrón!C5</f>
        <v>40</v>
      </c>
      <c r="D5" s="113" t="s">
        <v>95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48</v>
      </c>
      <c r="N5" s="71"/>
      <c r="O5" s="72"/>
      <c r="P5" s="141"/>
    </row>
    <row r="6" spans="2:16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Morrón!Q2</f>
        <v>838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+Morrón!R2</f>
        <v>7542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2400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O12"/>
  <sheetViews>
    <sheetView tabSelected="1" topLeftCell="B1" workbookViewId="0">
      <selection activeCell="N13" sqref="N13"/>
    </sheetView>
  </sheetViews>
  <sheetFormatPr defaultColWidth="11.42578125" defaultRowHeight="1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  <col min="12" max="12" width="1.7109375" customWidth="1"/>
    <col min="13" max="13" width="14.5703125" bestFit="1" customWidth="1"/>
    <col min="14" max="14" width="14.140625" bestFit="1" customWidth="1"/>
    <col min="15" max="15" width="12.5703125" bestFit="1" customWidth="1"/>
  </cols>
  <sheetData>
    <row r="2" spans="4:15" ht="30">
      <c r="D2" s="169" t="s">
        <v>96</v>
      </c>
    </row>
    <row r="3" spans="4:15">
      <c r="E3" s="47"/>
      <c r="F3" s="47"/>
      <c r="G3" s="47"/>
      <c r="H3" s="47"/>
      <c r="I3" s="47"/>
      <c r="J3" s="47"/>
      <c r="K3" s="47"/>
      <c r="L3" s="47"/>
    </row>
    <row r="4" spans="4:15" ht="23.25" customHeight="1">
      <c r="E4" s="170" t="s">
        <v>97</v>
      </c>
      <c r="F4" s="170" t="s">
        <v>98</v>
      </c>
      <c r="G4" s="170" t="s">
        <v>99</v>
      </c>
      <c r="H4" s="170"/>
      <c r="I4" s="170" t="s">
        <v>100</v>
      </c>
      <c r="J4" s="170" t="s">
        <v>101</v>
      </c>
      <c r="K4" s="170" t="s">
        <v>102</v>
      </c>
      <c r="L4" s="47"/>
      <c r="M4" s="182" t="s">
        <v>103</v>
      </c>
      <c r="N4" s="182" t="s">
        <v>104</v>
      </c>
    </row>
    <row r="5" spans="4:15" ht="23.25" customHeight="1">
      <c r="D5" t="s">
        <v>105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  <c r="M5" s="166">
        <f>E5-I5</f>
        <v>964228.89600000007</v>
      </c>
      <c r="N5" s="166">
        <f>F5-J5</f>
        <v>671683</v>
      </c>
    </row>
    <row r="6" spans="4:15" ht="23.25" customHeight="1">
      <c r="D6" t="s">
        <v>106</v>
      </c>
      <c r="E6" s="167">
        <f>+Roma!O2</f>
        <v>864923.07000000007</v>
      </c>
      <c r="F6" s="167">
        <f>+'Estado de Cuenta R'!O38</f>
        <v>702245</v>
      </c>
      <c r="G6" s="171">
        <f>+E6-F6</f>
        <v>162678.07000000007</v>
      </c>
      <c r="H6" s="167"/>
      <c r="I6" s="167">
        <f>+Roma!Q2</f>
        <v>86492.307000000001</v>
      </c>
      <c r="J6" s="167">
        <v>11968</v>
      </c>
      <c r="K6" s="167">
        <f t="shared" ref="K6:K7" si="0">+G6-I6+J6</f>
        <v>88153.763000000064</v>
      </c>
      <c r="M6" s="166">
        <f t="shared" ref="M6:M8" si="1">E6-I6</f>
        <v>778430.76300000004</v>
      </c>
      <c r="N6" s="166">
        <f t="shared" ref="N6:N8" si="2">F6-J6</f>
        <v>690277</v>
      </c>
    </row>
    <row r="7" spans="4:15" ht="23.25" customHeight="1">
      <c r="D7" t="s">
        <v>107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  <c r="M7" s="166">
        <f t="shared" si="1"/>
        <v>7542</v>
      </c>
      <c r="N7" s="166">
        <f t="shared" si="2"/>
        <v>5980</v>
      </c>
    </row>
    <row r="8" spans="4:15" ht="23.25" customHeight="1">
      <c r="E8" s="167"/>
      <c r="F8" s="167"/>
      <c r="G8" s="171"/>
      <c r="H8" s="167"/>
      <c r="I8" s="167"/>
      <c r="J8" s="167"/>
      <c r="K8" s="167"/>
      <c r="M8" s="166">
        <f t="shared" si="1"/>
        <v>0</v>
      </c>
      <c r="N8" s="166">
        <f t="shared" si="2"/>
        <v>0</v>
      </c>
    </row>
    <row r="9" spans="4:15" ht="23.25" customHeight="1">
      <c r="E9" s="168">
        <f>SUM(E5:E8)</f>
        <v>1930241.6300000001</v>
      </c>
      <c r="F9" s="168">
        <f>SUM(F5:F8)</f>
        <v>1440057</v>
      </c>
      <c r="G9" s="172">
        <f>SUM(G5:G8)</f>
        <v>490184.63000000012</v>
      </c>
      <c r="H9" s="168"/>
      <c r="I9" s="168">
        <f>SUM(I5:I8)</f>
        <v>180039.97100000002</v>
      </c>
      <c r="J9" s="168">
        <f>SUM(J5:J8)</f>
        <v>72117</v>
      </c>
      <c r="K9" s="168">
        <f>+G9-I9+J9</f>
        <v>382261.6590000001</v>
      </c>
      <c r="M9" s="181">
        <f t="shared" ref="M9:N9" si="3">E9-I9</f>
        <v>1750201.659</v>
      </c>
      <c r="N9" s="181">
        <f t="shared" si="3"/>
        <v>1367940</v>
      </c>
      <c r="O9" s="166">
        <f>M9-N9</f>
        <v>382261.65899999999</v>
      </c>
    </row>
    <row r="10" spans="4:15" ht="23.25" customHeight="1">
      <c r="E10" s="167"/>
      <c r="F10" s="167"/>
      <c r="G10" s="167"/>
      <c r="H10" s="167"/>
      <c r="I10" s="167"/>
      <c r="J10" s="167"/>
      <c r="K10" s="166"/>
      <c r="L10" s="167"/>
    </row>
    <row r="11" spans="4:15" ht="23.25" customHeight="1">
      <c r="E11" s="167"/>
      <c r="F11" s="167"/>
      <c r="G11" s="167"/>
      <c r="H11" s="167"/>
      <c r="I11" s="167">
        <f>+I9-J9</f>
        <v>107922.97100000002</v>
      </c>
      <c r="J11" s="167"/>
      <c r="K11" s="166"/>
      <c r="L11" s="167"/>
    </row>
    <row r="12" spans="4:15">
      <c r="E12" s="167"/>
      <c r="F12" s="167"/>
      <c r="G12" s="167"/>
      <c r="H12" s="167"/>
      <c r="I12" s="167" t="s">
        <v>108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Gerardo Bátiz Esquer</cp:lastModifiedBy>
  <cp:revision/>
  <dcterms:created xsi:type="dcterms:W3CDTF">2026-04-16T20:18:33Z</dcterms:created>
  <dcterms:modified xsi:type="dcterms:W3CDTF">2026-05-14T21:22:27Z</dcterms:modified>
  <cp:category/>
  <cp:contentStatus/>
</cp:coreProperties>
</file>