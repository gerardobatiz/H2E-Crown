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495" documentId="8_{101B3648-96E3-491A-B0FE-FBAE7237A7DD}" xr6:coauthVersionLast="47" xr6:coauthVersionMax="47" xr10:uidLastSave="{EDC46687-1895-4A1D-8C9E-717A39440413}"/>
  <bookViews>
    <workbookView xWindow="-120" yWindow="-120" windowWidth="20730" windowHeight="11160" activeTab="2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6" i="1" l="1"/>
  <c r="L26" i="1" s="1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K27" i="1"/>
  <c r="L27" i="1" s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F2" i="4" s="1"/>
  <c r="E5" i="4"/>
  <c r="C5" i="4"/>
  <c r="B5" i="4"/>
  <c r="J9" i="8"/>
  <c r="F7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J2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O22" i="3"/>
  <c r="Q22" i="3" s="1"/>
  <c r="M22" i="3"/>
  <c r="L22" i="3"/>
  <c r="J22" i="3"/>
  <c r="O21" i="3"/>
  <c r="Q21" i="3" s="1"/>
  <c r="M21" i="3"/>
  <c r="L21" i="3"/>
  <c r="J21" i="3"/>
  <c r="O20" i="3"/>
  <c r="Q20" i="3" s="1"/>
  <c r="M20" i="3"/>
  <c r="L20" i="3"/>
  <c r="J20" i="3"/>
  <c r="O19" i="3"/>
  <c r="Q19" i="3" s="1"/>
  <c r="M19" i="3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I13" i="4" l="1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T22" i="3" s="1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59" i="3" l="1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I11" i="8" s="1"/>
  <c r="G9" i="8"/>
  <c r="K2" i="3"/>
  <c r="O42" i="4"/>
  <c r="O44" i="4" s="1"/>
  <c r="K2" i="4" s="1"/>
  <c r="K9" i="8" l="1"/>
  <c r="K4" i="6" l="1"/>
  <c r="K4" i="4"/>
  <c r="K4" i="2"/>
</calcChain>
</file>

<file path=xl/sharedStrings.xml><?xml version="1.0" encoding="utf-8"?>
<sst xmlns="http://schemas.openxmlformats.org/spreadsheetml/2006/main" count="347" uniqueCount="100">
  <si>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</si>
  <si>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</si>
  <si>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</si>
  <si>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</si>
  <si>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</si>
  <si>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</si>
  <si>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</si>
  <si>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</si>
  <si>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</si>
  <si>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</si>
  <si>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</si>
  <si>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</si>
  <si>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</si>
  <si>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</si>
  <si>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</si>
  <si>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</si>
  <si>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</si>
  <si>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</si>
  <si>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</si>
  <si>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</si>
  <si>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</si>
  <si>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</si>
  <si>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</si>
  <si>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</si>
  <si>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</si>
  <si>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</si>
  <si>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</si>
  <si>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</si>
  <si>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</si>
  <si>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</si>
  <si>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</si>
  <si>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</si>
  <si>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</si>
  <si>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Morrón V</t>
  </si>
  <si>
    <t>Tomate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</si>
  <si>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</si>
  <si>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</si>
  <si>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</si>
  <si>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</si>
  <si>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</si>
  <si>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</si>
  <si>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</si>
  <si>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</si>
  <si>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</si>
  <si>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</si>
  <si>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</si>
  <si>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</si>
  <si>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</si>
  <si>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</si>
  <si>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</si>
  <si>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</si>
  <si>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</si>
  <si>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</si>
  <si>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</si>
  <si>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</si>
  <si>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</si>
  <si>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</si>
  <si>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</si>
  <si>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</si>
  <si>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</si>
  <si>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</si>
  <si>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</si>
  <si>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</si>
  <si>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</si>
  <si>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</si>
  <si>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</si>
  <si>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</si>
  <si>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</si>
  <si>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</si>
  <si>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</si>
  <si>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</si>
  <si>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</si>
  <si>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</si>
  <si>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</si>
  <si>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</si>
  <si>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</si>
  <si>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</si>
  <si>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</si>
  <si>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</si>
  <si>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</si>
  <si>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20260427-01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</si>
  <si>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</si>
  <si>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</si>
  <si>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</si>
  <si>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</si>
  <si>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</si>
  <si>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</si>
  <si>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</si>
  <si>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tomatillo</t>
  </si>
  <si>
    <t>roma</t>
  </si>
  <si>
    <t>morron</t>
  </si>
  <si>
    <t>comision cxp</t>
  </si>
  <si>
    <t>20260509-01</t>
  </si>
  <si>
    <t>20260508-03</t>
  </si>
  <si>
    <t>20260508-02</t>
  </si>
  <si>
    <t>20260511-01</t>
  </si>
  <si>
    <t>20260511-02</t>
  </si>
  <si>
    <t>20260511-03</t>
  </si>
  <si>
    <t>Epifanio Lopez</t>
  </si>
  <si>
    <t>20260508-01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</si>
</sst>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A13" zoomScale="80" zoomScaleNormal="80" workbookViewId="0">
      <selection activeCell="E30" sqref="E30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155.98657661632447</v>
      </c>
      <c r="L2" s="8">
        <f>O2/(G2*17)</f>
        <v>10.101102604286243</v>
      </c>
      <c r="M2" s="8">
        <f>SUM(M4:M495)</f>
        <v>1061338.5599999998</v>
      </c>
      <c r="N2" s="8">
        <f>SUM(N4:N495)</f>
        <v>49400</v>
      </c>
      <c r="O2" s="8">
        <f>SUM(O4:O495)</f>
        <v>1011938.56</v>
      </c>
      <c r="P2" s="9">
        <f>Q2/O2</f>
        <v>9.1615902056346205E-2</v>
      </c>
      <c r="Q2" s="8">
        <f>SUM(Q4:Q495)</f>
        <v>92709.664000000019</v>
      </c>
      <c r="R2" s="10">
        <f>SUM(R4:R495)</f>
        <v>919228.89600000007</v>
      </c>
      <c r="S2" s="10">
        <f>SUM(S4:S495)</f>
        <v>0</v>
      </c>
      <c r="T2" s="10">
        <f>SUM(T4:T495)</f>
        <v>919228.89600000007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25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25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25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25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25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25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25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25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25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25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25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25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25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25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25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25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25">
      <c r="B21" s="24">
        <v>46046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25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25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25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25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25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45000</v>
      </c>
      <c r="O26" s="124">
        <f t="shared" si="1"/>
        <v>84841.920000000013</v>
      </c>
      <c r="P26" s="175">
        <v>0</v>
      </c>
      <c r="Q26" s="124">
        <f t="shared" si="7"/>
        <v>0</v>
      </c>
      <c r="R26" s="126">
        <f t="shared" si="2"/>
        <v>84841.920000000013</v>
      </c>
      <c r="S26" s="124">
        <f t="shared" si="3"/>
        <v>0</v>
      </c>
      <c r="T26" s="126">
        <f t="shared" si="4"/>
        <v>84841.920000000013</v>
      </c>
    </row>
    <row r="27" spans="2:21" x14ac:dyDescent="0.25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25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25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25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25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46139</v>
      </c>
      <c r="C4" s="19">
        <v>24</v>
      </c>
      <c r="D4" s="19" t="s">
        <v>20</v>
      </c>
      <c r="E4" s="19" t="s">
        <v>32</v>
      </c>
      <c r="F4" s="19" t="s">
        <v>33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25">
      <c r="B5" s="24">
        <v>46151</v>
      </c>
      <c r="C5" s="25">
        <v>40</v>
      </c>
      <c r="D5" s="25" t="s">
        <v>20</v>
      </c>
      <c r="E5" s="25" t="s">
        <v>23</v>
      </c>
      <c r="F5" s="25" t="s">
        <v>33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25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25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25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25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25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25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25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25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25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tabSelected="1" zoomScale="80" zoomScaleNormal="80" workbookViewId="0">
      <selection activeCell="K15" sqref="K15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1587</v>
      </c>
      <c r="H2" s="5">
        <f>SUM(H4:H495)</f>
        <v>1587</v>
      </c>
      <c r="I2" s="6">
        <f>SUM(I4:I495)</f>
        <v>0</v>
      </c>
      <c r="J2" s="7">
        <f>SUM(J4:J495)</f>
        <v>0</v>
      </c>
      <c r="K2" s="8">
        <f>R2/H2</f>
        <v>452.96204347826091</v>
      </c>
      <c r="L2" s="8">
        <f>O2/(G2*17)</f>
        <v>29.605362318840584</v>
      </c>
      <c r="M2" s="8">
        <f>SUM(M4:M495)</f>
        <v>798723.07000000007</v>
      </c>
      <c r="N2" s="8">
        <f>SUM(N4:N495)</f>
        <v>0</v>
      </c>
      <c r="O2" s="8">
        <f>SUM(O4:O495)</f>
        <v>798723.07000000007</v>
      </c>
      <c r="P2" s="9">
        <f>Q2/O2</f>
        <v>9.9999999999999992E-2</v>
      </c>
      <c r="Q2" s="8">
        <f>SUM(Q4:Q495)</f>
        <v>79872.307000000001</v>
      </c>
      <c r="R2" s="10">
        <f>SUM(R4:R495)</f>
        <v>718850.76300000004</v>
      </c>
      <c r="S2" s="10">
        <f>SUM(S4:S495)</f>
        <v>0</v>
      </c>
      <c r="T2" s="10">
        <f>SUM(T4:T495)</f>
        <v>718850.76300000004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46135</v>
      </c>
      <c r="C4" s="19">
        <v>19</v>
      </c>
      <c r="D4" s="19" t="s">
        <v>20</v>
      </c>
      <c r="E4" s="19" t="s">
        <v>29</v>
      </c>
      <c r="F4" s="19" t="s">
        <v>34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 x14ac:dyDescent="0.25">
      <c r="B5" s="24">
        <v>46140</v>
      </c>
      <c r="C5" s="25">
        <v>25</v>
      </c>
      <c r="D5" s="25" t="s">
        <v>20</v>
      </c>
      <c r="E5" s="25" t="s">
        <v>21</v>
      </c>
      <c r="F5" s="25" t="s">
        <v>34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25">
      <c r="B6" s="24">
        <v>46142</v>
      </c>
      <c r="C6" s="25">
        <v>26</v>
      </c>
      <c r="D6" s="25" t="s">
        <v>20</v>
      </c>
      <c r="E6" s="25" t="s">
        <v>29</v>
      </c>
      <c r="F6" s="25" t="s">
        <v>34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25">
      <c r="B7" s="24">
        <v>46144</v>
      </c>
      <c r="C7" s="25">
        <v>31</v>
      </c>
      <c r="D7" s="25" t="s">
        <v>20</v>
      </c>
      <c r="E7" s="25" t="s">
        <v>21</v>
      </c>
      <c r="F7" s="25" t="s">
        <v>34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25">
      <c r="B8" s="24">
        <v>46147</v>
      </c>
      <c r="C8" s="25">
        <v>33</v>
      </c>
      <c r="D8" s="25" t="s">
        <v>20</v>
      </c>
      <c r="E8" s="25" t="s">
        <v>24</v>
      </c>
      <c r="F8" s="25" t="s">
        <v>34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25">
      <c r="B9" s="24">
        <v>46149</v>
      </c>
      <c r="C9" s="25">
        <v>35</v>
      </c>
      <c r="D9" s="25" t="s">
        <v>20</v>
      </c>
      <c r="E9" s="25" t="s">
        <v>23</v>
      </c>
      <c r="F9" s="25" t="s">
        <v>34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25">
      <c r="B10" s="24">
        <v>46150</v>
      </c>
      <c r="C10" s="25">
        <v>38</v>
      </c>
      <c r="D10" s="25" t="s">
        <v>20</v>
      </c>
      <c r="E10" s="25" t="s">
        <v>23</v>
      </c>
      <c r="F10" s="25" t="s">
        <v>34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25">
      <c r="B11" s="24">
        <v>46150</v>
      </c>
      <c r="C11" s="25">
        <v>39</v>
      </c>
      <c r="D11" s="25" t="s">
        <v>20</v>
      </c>
      <c r="E11" s="25" t="s">
        <v>21</v>
      </c>
      <c r="F11" s="25" t="s">
        <v>34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25">
      <c r="B12" s="24">
        <v>46151</v>
      </c>
      <c r="C12" s="25">
        <v>41</v>
      </c>
      <c r="D12" s="25" t="s">
        <v>20</v>
      </c>
      <c r="E12" s="25" t="s">
        <v>32</v>
      </c>
      <c r="F12" s="25" t="s">
        <v>34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 x14ac:dyDescent="0.25">
      <c r="B13" s="24">
        <v>46153</v>
      </c>
      <c r="C13" s="25">
        <v>42</v>
      </c>
      <c r="D13" s="25" t="s">
        <v>20</v>
      </c>
      <c r="E13" s="25" t="s">
        <v>98</v>
      </c>
      <c r="F13" s="25" t="s">
        <v>34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 x14ac:dyDescent="0.25">
      <c r="B14" s="24">
        <v>46153</v>
      </c>
      <c r="C14" s="25">
        <v>43</v>
      </c>
      <c r="D14" s="25" t="s">
        <v>20</v>
      </c>
      <c r="E14" s="25" t="s">
        <v>23</v>
      </c>
      <c r="F14" s="25" t="s">
        <v>34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 x14ac:dyDescent="0.25">
      <c r="B15" s="24">
        <v>46153</v>
      </c>
      <c r="C15" s="25">
        <v>44</v>
      </c>
      <c r="D15" s="25" t="s">
        <v>20</v>
      </c>
      <c r="E15" s="25" t="s">
        <v>29</v>
      </c>
      <c r="F15" s="25" t="s">
        <v>34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 x14ac:dyDescent="0.25">
      <c r="B16" s="24">
        <v>46153</v>
      </c>
      <c r="C16" s="25">
        <v>45</v>
      </c>
      <c r="D16" s="25" t="s">
        <v>20</v>
      </c>
      <c r="E16" s="25" t="s">
        <v>25</v>
      </c>
      <c r="F16" s="25" t="s">
        <v>34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 x14ac:dyDescent="0.25">
      <c r="B17" s="24"/>
      <c r="C17" s="25"/>
      <c r="D17" s="25"/>
      <c r="E17" s="25"/>
      <c r="F17" s="25"/>
      <c r="G17" s="26"/>
      <c r="H17" s="20"/>
      <c r="I17" s="19"/>
      <c r="J17" s="43">
        <f t="shared" si="5"/>
        <v>0</v>
      </c>
      <c r="K17" s="27"/>
      <c r="L17" s="40">
        <f t="shared" si="7"/>
        <v>0</v>
      </c>
      <c r="M17" s="41">
        <f t="shared" si="0"/>
        <v>0</v>
      </c>
      <c r="N17" s="27">
        <v>0</v>
      </c>
      <c r="O17" s="40">
        <f t="shared" si="1"/>
        <v>0</v>
      </c>
      <c r="P17" s="22"/>
      <c r="Q17" s="40">
        <f t="shared" si="6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7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6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7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6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27"/>
      <c r="L20" s="40">
        <f t="shared" si="7"/>
        <v>0</v>
      </c>
      <c r="M20" s="41">
        <f t="shared" si="0"/>
        <v>0</v>
      </c>
      <c r="N20" s="27">
        <v>0</v>
      </c>
      <c r="O20" s="40">
        <f t="shared" si="1"/>
        <v>0</v>
      </c>
      <c r="P20" s="30"/>
      <c r="Q20" s="40">
        <f t="shared" si="6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7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6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7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6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opLeftCell="A13" zoomScale="80" zoomScaleNormal="80" workbookViewId="0">
      <selection activeCell="E30" sqref="E30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10.188612480058529</v>
      </c>
      <c r="J1" s="140" t="s">
        <v>36</v>
      </c>
    </row>
    <row r="2" spans="2:16" ht="16.5" thickBot="1" x14ac:dyDescent="0.3">
      <c r="C2" s="49" t="s">
        <v>17</v>
      </c>
      <c r="F2" s="50">
        <f>SUM(F4:F391)</f>
        <v>5789</v>
      </c>
      <c r="G2" s="51">
        <f>I2/F2</f>
        <v>173.206412160995</v>
      </c>
      <c r="H2" s="52">
        <f>SUM(H4:H391)</f>
        <v>49400</v>
      </c>
      <c r="I2" s="53">
        <f>SUM(I4:I391)</f>
        <v>1002691.92</v>
      </c>
      <c r="J2" s="54">
        <f>O39</f>
        <v>706265</v>
      </c>
      <c r="K2" s="55">
        <f>O45</f>
        <v>305673.56000000006</v>
      </c>
      <c r="L2" s="56" t="s">
        <v>37</v>
      </c>
      <c r="O2" s="46" t="s">
        <v>38</v>
      </c>
    </row>
    <row r="3" spans="2:16" ht="15.75" thickBot="1" x14ac:dyDescent="0.3">
      <c r="B3" s="57" t="s">
        <v>1</v>
      </c>
      <c r="C3" s="58" t="s">
        <v>2</v>
      </c>
      <c r="D3" s="59" t="s">
        <v>39</v>
      </c>
      <c r="E3" s="59" t="s">
        <v>4</v>
      </c>
      <c r="F3" s="60" t="s">
        <v>40</v>
      </c>
      <c r="G3" s="61" t="s">
        <v>10</v>
      </c>
      <c r="H3" s="62" t="s">
        <v>13</v>
      </c>
      <c r="I3" s="63" t="s">
        <v>41</v>
      </c>
      <c r="J3" s="64" t="s">
        <v>42</v>
      </c>
      <c r="K3" s="65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07">
        <f>Tomatillo!B4</f>
        <v>46128</v>
      </c>
      <c r="C4" s="108">
        <f>Tomatillo!C4</f>
        <v>1</v>
      </c>
      <c r="D4" s="108" t="s">
        <v>44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45</v>
      </c>
      <c r="K4" s="68">
        <f>[1]VENTAS!R2</f>
        <v>691969.5</v>
      </c>
      <c r="L4" s="56" t="s">
        <v>46</v>
      </c>
      <c r="N4" s="69">
        <v>46128</v>
      </c>
      <c r="O4" s="70">
        <v>36720</v>
      </c>
    </row>
    <row r="5" spans="2:16" ht="15.75" thickBot="1" x14ac:dyDescent="0.3">
      <c r="B5" s="107">
        <f>Tomatillo!B5</f>
        <v>46128</v>
      </c>
      <c r="C5" s="108">
        <f>Tomatillo!C5</f>
        <v>2</v>
      </c>
      <c r="D5" s="113" t="s">
        <v>47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45</v>
      </c>
      <c r="N5" s="71">
        <v>46129</v>
      </c>
      <c r="O5" s="72">
        <v>78948</v>
      </c>
      <c r="P5" s="141"/>
    </row>
    <row r="6" spans="2:16" ht="15.75" thickBot="1" x14ac:dyDescent="0.3">
      <c r="B6" s="107">
        <f>Tomatillo!B6</f>
        <v>46128</v>
      </c>
      <c r="C6" s="108">
        <f>Tomatillo!C6</f>
        <v>3</v>
      </c>
      <c r="D6" s="113" t="s">
        <v>48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45</v>
      </c>
      <c r="N6" s="71">
        <v>46133</v>
      </c>
      <c r="O6" s="72">
        <v>40086</v>
      </c>
    </row>
    <row r="7" spans="2:16" ht="15.75" thickBot="1" x14ac:dyDescent="0.3">
      <c r="B7" s="107">
        <f>Tomatillo!B7</f>
        <v>46128</v>
      </c>
      <c r="C7" s="108">
        <f>Tomatillo!C7</f>
        <v>4</v>
      </c>
      <c r="D7" s="113" t="s">
        <v>49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45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 x14ac:dyDescent="0.3">
      <c r="B8" s="107">
        <f>Tomatillo!B8</f>
        <v>46128</v>
      </c>
      <c r="C8" s="108">
        <f>Tomatillo!C8</f>
        <v>5</v>
      </c>
      <c r="D8" s="113" t="s">
        <v>50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45</v>
      </c>
      <c r="K8" s="73"/>
      <c r="N8" s="71">
        <v>46136</v>
      </c>
      <c r="O8" s="72">
        <v>100000</v>
      </c>
    </row>
    <row r="9" spans="2:16" ht="15.75" thickBot="1" x14ac:dyDescent="0.3">
      <c r="B9" s="107">
        <f>Tomatillo!B9</f>
        <v>46129</v>
      </c>
      <c r="C9" s="108">
        <f>Tomatillo!C9</f>
        <v>7</v>
      </c>
      <c r="D9" s="113" t="s">
        <v>51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45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 x14ac:dyDescent="0.3">
      <c r="B10" s="107">
        <f>Tomatillo!B10</f>
        <v>46129</v>
      </c>
      <c r="C10" s="108">
        <f>Tomatillo!C10</f>
        <v>9</v>
      </c>
      <c r="D10" s="113" t="s">
        <v>52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45</v>
      </c>
      <c r="K10" s="73">
        <f t="shared" si="1"/>
        <v>13</v>
      </c>
      <c r="N10" s="71">
        <v>46136</v>
      </c>
      <c r="O10" s="72">
        <v>5530</v>
      </c>
    </row>
    <row r="11" spans="2:16" ht="15.75" thickBot="1" x14ac:dyDescent="0.3">
      <c r="B11" s="116">
        <f>Tomatillo!B11</f>
        <v>46129</v>
      </c>
      <c r="C11" s="81">
        <f>Tomatillo!C11</f>
        <v>10</v>
      </c>
      <c r="D11" s="85" t="s">
        <v>53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54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 x14ac:dyDescent="0.3">
      <c r="B12" s="107">
        <f>Tomatillo!B12</f>
        <v>46130</v>
      </c>
      <c r="C12" s="108">
        <f>Tomatillo!C12</f>
        <v>11</v>
      </c>
      <c r="D12" s="113" t="s">
        <v>55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45</v>
      </c>
      <c r="K12" s="73">
        <f t="shared" si="1"/>
        <v>14</v>
      </c>
      <c r="N12" s="71">
        <v>46142</v>
      </c>
      <c r="O12" s="72">
        <v>110976</v>
      </c>
    </row>
    <row r="13" spans="2:16" ht="15.75" thickBot="1" x14ac:dyDescent="0.3">
      <c r="B13" s="107">
        <f>Tomatillo!B13</f>
        <v>46130</v>
      </c>
      <c r="C13" s="108">
        <f>Tomatillo!C13</f>
        <v>12</v>
      </c>
      <c r="D13" s="113" t="s">
        <v>56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45</v>
      </c>
      <c r="K13" s="73">
        <f t="shared" si="1"/>
        <v>17</v>
      </c>
      <c r="N13" s="71">
        <v>46150</v>
      </c>
      <c r="O13" s="72">
        <v>7021</v>
      </c>
    </row>
    <row r="14" spans="2:16" ht="15.75" thickBot="1" x14ac:dyDescent="0.3">
      <c r="B14" s="107">
        <f>Tomatillo!B14</f>
        <v>46132</v>
      </c>
      <c r="C14" s="108">
        <f>Tomatillo!C14</f>
        <v>13</v>
      </c>
      <c r="D14" s="113" t="s">
        <v>57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45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 x14ac:dyDescent="0.3">
      <c r="B15" s="107">
        <f>Tomatillo!B15</f>
        <v>46132</v>
      </c>
      <c r="C15" s="108">
        <f>Tomatillo!C15</f>
        <v>14</v>
      </c>
      <c r="D15" s="113" t="s">
        <v>58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45</v>
      </c>
      <c r="K15" s="73">
        <f t="shared" si="1"/>
        <v>15</v>
      </c>
      <c r="L15" s="74"/>
      <c r="M15" s="74"/>
      <c r="N15" s="71"/>
      <c r="O15" s="72"/>
    </row>
    <row r="16" spans="2:16" ht="15.75" thickBot="1" x14ac:dyDescent="0.3">
      <c r="B16" s="107">
        <f>Tomatillo!B16</f>
        <v>46133</v>
      </c>
      <c r="C16" s="108">
        <f>Tomatillo!C16</f>
        <v>16</v>
      </c>
      <c r="D16" s="113" t="s">
        <v>59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45</v>
      </c>
      <c r="N16" s="71"/>
      <c r="O16" s="72"/>
    </row>
    <row r="17" spans="2:15" ht="15.75" thickBot="1" x14ac:dyDescent="0.3">
      <c r="B17" s="128">
        <f>Tomatillo!B17</f>
        <v>46133</v>
      </c>
      <c r="C17" s="129">
        <f>Tomatillo!C17</f>
        <v>16</v>
      </c>
      <c r="D17" s="130" t="s">
        <v>59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 x14ac:dyDescent="0.3">
      <c r="B18" s="136">
        <f>Tomatillo!B18</f>
        <v>46134</v>
      </c>
      <c r="C18" s="81">
        <f>Tomatillo!C18</f>
        <v>17</v>
      </c>
      <c r="D18" s="85" t="s">
        <v>60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54</v>
      </c>
      <c r="N18" s="71"/>
      <c r="O18" s="72"/>
    </row>
    <row r="19" spans="2:15" ht="15.75" thickBot="1" x14ac:dyDescent="0.3">
      <c r="B19" s="107">
        <f>Tomatillo!B19</f>
        <v>46134</v>
      </c>
      <c r="C19" s="108">
        <f>Tomatillo!C19</f>
        <v>18</v>
      </c>
      <c r="D19" s="113" t="s">
        <v>61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45</v>
      </c>
      <c r="N19" s="71"/>
      <c r="O19" s="72"/>
    </row>
    <row r="20" spans="2:15" ht="15.75" thickBot="1" x14ac:dyDescent="0.3">
      <c r="B20" s="107">
        <f>Tomatillo!B20</f>
        <v>46136</v>
      </c>
      <c r="C20" s="108">
        <f>Tomatillo!C20</f>
        <v>20</v>
      </c>
      <c r="D20" s="163" t="s">
        <v>62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45</v>
      </c>
      <c r="N20" s="71"/>
      <c r="O20" s="72"/>
    </row>
    <row r="21" spans="2:15" ht="15.75" thickBot="1" x14ac:dyDescent="0.3">
      <c r="B21" s="107">
        <f>Tomatillo!B21</f>
        <v>46046</v>
      </c>
      <c r="C21" s="108">
        <f>Tomatillo!C21</f>
        <v>21</v>
      </c>
      <c r="D21" s="158" t="s">
        <v>63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45</v>
      </c>
      <c r="N21" s="71"/>
      <c r="O21" s="72"/>
    </row>
    <row r="22" spans="2:15" ht="15.75" thickBot="1" x14ac:dyDescent="0.3">
      <c r="B22" s="136">
        <f>Tomatillo!B22</f>
        <v>46137</v>
      </c>
      <c r="C22" s="81">
        <f>Tomatillo!C22</f>
        <v>23</v>
      </c>
      <c r="D22" s="161" t="s">
        <v>64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54</v>
      </c>
      <c r="N22" s="71"/>
      <c r="O22" s="72"/>
    </row>
    <row r="23" spans="2:15" ht="15.75" thickBot="1" x14ac:dyDescent="0.3">
      <c r="B23" s="136">
        <f>Tomatillo!B23</f>
        <v>46142</v>
      </c>
      <c r="C23" s="81">
        <f>Tomatillo!C23</f>
        <v>27</v>
      </c>
      <c r="D23" s="161" t="s">
        <v>65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54</v>
      </c>
      <c r="N23" s="71"/>
      <c r="O23" s="72"/>
    </row>
    <row r="24" spans="2:15" ht="15.75" thickBot="1" x14ac:dyDescent="0.3">
      <c r="B24" s="136">
        <f>Tomatillo!B24</f>
        <v>46142</v>
      </c>
      <c r="C24" s="81">
        <f>Tomatillo!C24</f>
        <v>28</v>
      </c>
      <c r="D24" s="161" t="s">
        <v>66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54</v>
      </c>
      <c r="N24" s="71"/>
      <c r="O24" s="72"/>
    </row>
    <row r="25" spans="2:15" ht="15.75" thickBot="1" x14ac:dyDescent="0.3">
      <c r="B25" s="136">
        <f>Tomatillo!B25</f>
        <v>46143</v>
      </c>
      <c r="C25" s="81">
        <f>Tomatillo!C25</f>
        <v>29</v>
      </c>
      <c r="D25" s="161" t="s">
        <v>67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54</v>
      </c>
      <c r="N25" s="71"/>
      <c r="O25" s="72"/>
    </row>
    <row r="26" spans="2:15" ht="15.75" thickBot="1" x14ac:dyDescent="0.3">
      <c r="B26" s="136">
        <f>Tomatillo!B26</f>
        <v>46146</v>
      </c>
      <c r="C26" s="81">
        <f>Tomatillo!C26</f>
        <v>32</v>
      </c>
      <c r="D26" s="85" t="s">
        <v>68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45000</v>
      </c>
      <c r="I26" s="84">
        <f t="shared" si="3"/>
        <v>84841.920000000013</v>
      </c>
      <c r="J26" s="94" t="s">
        <v>54</v>
      </c>
      <c r="N26" s="71"/>
      <c r="O26" s="72"/>
    </row>
    <row r="27" spans="2:15" ht="15.75" thickBot="1" x14ac:dyDescent="0.3">
      <c r="B27" s="136">
        <f>Tomatillo!B27</f>
        <v>46147</v>
      </c>
      <c r="C27" s="81">
        <f>Tomatillo!C27</f>
        <v>34</v>
      </c>
      <c r="D27" s="86" t="s">
        <v>69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54</v>
      </c>
      <c r="N27" s="71"/>
      <c r="O27" s="72"/>
    </row>
    <row r="28" spans="2:15" ht="15.75" thickBot="1" x14ac:dyDescent="0.3">
      <c r="B28" s="107">
        <f>Tomatillo!B28</f>
        <v>46149</v>
      </c>
      <c r="C28" s="108">
        <f>Tomatillo!C28</f>
        <v>35</v>
      </c>
      <c r="D28" s="113" t="s">
        <v>70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45</v>
      </c>
      <c r="N28" s="71"/>
      <c r="O28" s="72"/>
    </row>
    <row r="29" spans="2:15" ht="15.75" thickBot="1" x14ac:dyDescent="0.3">
      <c r="B29" s="107">
        <f>Tomatillo!B29</f>
        <v>46149</v>
      </c>
      <c r="C29" s="108">
        <f>Tomatillo!C29</f>
        <v>36</v>
      </c>
      <c r="D29" s="113" t="s">
        <v>71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45</v>
      </c>
      <c r="N29" s="71"/>
      <c r="O29" s="72"/>
    </row>
    <row r="30" spans="2:15" ht="15.75" thickBot="1" x14ac:dyDescent="0.3">
      <c r="B30" s="136">
        <f>Tomatillo!B30</f>
        <v>46150</v>
      </c>
      <c r="C30" s="81">
        <f>Tomatillo!C30</f>
        <v>37</v>
      </c>
      <c r="D30" s="86" t="s">
        <v>99</v>
      </c>
      <c r="E30" s="81" t="str">
        <f>Tomatillo!E30</f>
        <v>Efrén Medina</v>
      </c>
      <c r="F30" s="82">
        <f>Tomatillo!G30</f>
        <v>120</v>
      </c>
      <c r="G30" s="83">
        <f>Tomatillo!K30</f>
        <v>136</v>
      </c>
      <c r="H30" s="75">
        <v>0</v>
      </c>
      <c r="I30" s="84">
        <f t="shared" ref="I30" si="4">F30*G30-H30</f>
        <v>16320</v>
      </c>
      <c r="J30" s="94" t="s">
        <v>54</v>
      </c>
      <c r="N30" s="71"/>
      <c r="O30" s="72"/>
    </row>
    <row r="31" spans="2:15" ht="15.75" thickBot="1" x14ac:dyDescent="0.3">
      <c r="B31" s="136"/>
      <c r="C31" s="81"/>
      <c r="D31" s="85"/>
      <c r="E31" s="85"/>
      <c r="F31" s="25"/>
      <c r="G31" s="75"/>
      <c r="H31" s="75"/>
      <c r="I31" s="93"/>
      <c r="J31" s="92"/>
      <c r="N31" s="71"/>
      <c r="O31" s="72"/>
    </row>
    <row r="32" spans="2:15" x14ac:dyDescent="0.2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2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706265</v>
      </c>
    </row>
    <row r="40" spans="2:15" ht="15.75" thickBot="1" x14ac:dyDescent="0.3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72</v>
      </c>
      <c r="O41" s="67">
        <f>Tomatillo!Q2</f>
        <v>92709.664000000019</v>
      </c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73</v>
      </c>
      <c r="O43" s="67">
        <f>Tomatillo!T2</f>
        <v>919228.89600000007</v>
      </c>
    </row>
    <row r="44" spans="2:15" ht="15.75" thickBot="1" x14ac:dyDescent="0.3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 x14ac:dyDescent="0.3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74</v>
      </c>
      <c r="O45" s="67">
        <f>+O43+O41-O39</f>
        <v>305673.56000000006</v>
      </c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2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25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25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25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25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25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25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25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25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25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25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25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25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25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25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25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zoomScale="80" zoomScaleNormal="80" workbookViewId="0">
      <selection activeCell="D13" sqref="D13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31.249142117647061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1250</v>
      </c>
      <c r="G2" s="146">
        <f>I2/F2</f>
        <v>531.23541599999999</v>
      </c>
      <c r="H2" s="147">
        <f>SUM(H4:H390)</f>
        <v>0</v>
      </c>
      <c r="I2" s="53">
        <f>SUM(I4:I390)</f>
        <v>664044.27</v>
      </c>
      <c r="J2" s="148">
        <f>O38</f>
        <v>498095</v>
      </c>
      <c r="K2" s="55">
        <f>O44</f>
        <v>300628.07000000007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v>46135</v>
      </c>
      <c r="C4" s="150">
        <v>19</v>
      </c>
      <c r="D4" s="150" t="s">
        <v>75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54</v>
      </c>
      <c r="K4" s="142">
        <f>[1]VENTAS!R2</f>
        <v>691969.5</v>
      </c>
      <c r="L4" s="56" t="s">
        <v>46</v>
      </c>
      <c r="N4" s="69">
        <v>46140</v>
      </c>
      <c r="O4" s="70">
        <v>54225</v>
      </c>
    </row>
    <row r="5" spans="2:16" x14ac:dyDescent="0.25">
      <c r="B5" s="173">
        <f>Roma!B5</f>
        <v>46140</v>
      </c>
      <c r="C5" s="113">
        <f>Roma!C5</f>
        <v>25</v>
      </c>
      <c r="D5" s="113" t="s">
        <v>76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45</v>
      </c>
      <c r="N5" s="71">
        <v>46142</v>
      </c>
      <c r="O5" s="72">
        <v>65460</v>
      </c>
      <c r="P5" s="141"/>
    </row>
    <row r="6" spans="2:16" x14ac:dyDescent="0.25">
      <c r="B6" s="173">
        <f>Roma!B6</f>
        <v>46142</v>
      </c>
      <c r="C6" s="113">
        <f>Roma!C6</f>
        <v>26</v>
      </c>
      <c r="D6" s="113" t="s">
        <v>77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45</v>
      </c>
      <c r="N6" s="71">
        <v>46146</v>
      </c>
      <c r="O6" s="72">
        <v>110950</v>
      </c>
    </row>
    <row r="7" spans="2:16" x14ac:dyDescent="0.25">
      <c r="B7" s="173">
        <f>Roma!B7</f>
        <v>46144</v>
      </c>
      <c r="C7" s="113">
        <f>Roma!C7</f>
        <v>31</v>
      </c>
      <c r="D7" s="113" t="s">
        <v>78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45</v>
      </c>
      <c r="K7" s="73"/>
      <c r="N7" s="71">
        <v>46148</v>
      </c>
      <c r="O7" s="72">
        <v>134840</v>
      </c>
    </row>
    <row r="8" spans="2:16" x14ac:dyDescent="0.25">
      <c r="B8" s="173">
        <f>Roma!B8</f>
        <v>46147</v>
      </c>
      <c r="C8" s="113">
        <f>Roma!C8</f>
        <v>33</v>
      </c>
      <c r="D8" s="113" t="s">
        <v>79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45</v>
      </c>
      <c r="K8" s="73"/>
      <c r="N8" s="71">
        <v>46150</v>
      </c>
      <c r="O8" s="72">
        <f>108000+24000+620</f>
        <v>132620</v>
      </c>
    </row>
    <row r="9" spans="2:16" x14ac:dyDescent="0.25">
      <c r="B9" s="173">
        <f>Roma!B9</f>
        <v>46149</v>
      </c>
      <c r="C9" s="113">
        <f>Roma!C9</f>
        <v>35</v>
      </c>
      <c r="D9" s="113" t="s">
        <v>70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45</v>
      </c>
      <c r="K9" s="73"/>
      <c r="N9" s="71"/>
      <c r="O9" s="72"/>
    </row>
    <row r="10" spans="2:16" x14ac:dyDescent="0.25">
      <c r="B10" s="173">
        <f>Roma!B10</f>
        <v>46150</v>
      </c>
      <c r="C10" s="113">
        <f>Roma!C10</f>
        <v>38</v>
      </c>
      <c r="D10" s="113" t="s">
        <v>94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45</v>
      </c>
      <c r="K10" s="73"/>
      <c r="N10" s="71"/>
      <c r="O10" s="72"/>
    </row>
    <row r="11" spans="2:16" x14ac:dyDescent="0.25">
      <c r="B11" s="173">
        <f>Roma!B11</f>
        <v>46150</v>
      </c>
      <c r="C11" s="113">
        <f>Roma!C11</f>
        <v>39</v>
      </c>
      <c r="D11" s="113" t="s">
        <v>93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45</v>
      </c>
      <c r="K11" s="73"/>
      <c r="L11" s="79"/>
      <c r="N11" s="71"/>
      <c r="O11" s="72"/>
    </row>
    <row r="12" spans="2:16" x14ac:dyDescent="0.25">
      <c r="B12" s="91">
        <f>Roma!B13</f>
        <v>46153</v>
      </c>
      <c r="C12" s="85">
        <f>Roma!C13</f>
        <v>42</v>
      </c>
      <c r="D12" s="85" t="s">
        <v>95</v>
      </c>
      <c r="E12" s="85" t="str">
        <f>Roma!E13</f>
        <v>Epifanio Lopez</v>
      </c>
      <c r="F12" s="25">
        <f>Roma!H13</f>
        <v>80</v>
      </c>
      <c r="G12" s="75">
        <f>Roma!K13</f>
        <v>430</v>
      </c>
      <c r="H12" s="84">
        <v>0</v>
      </c>
      <c r="I12" s="75">
        <f t="shared" si="0"/>
        <v>34400</v>
      </c>
      <c r="J12" s="94" t="s">
        <v>54</v>
      </c>
      <c r="K12" s="73"/>
      <c r="N12" s="71"/>
      <c r="O12" s="72"/>
    </row>
    <row r="13" spans="2:16" x14ac:dyDescent="0.25">
      <c r="B13" s="91">
        <f>Roma!B14</f>
        <v>46153</v>
      </c>
      <c r="C13" s="85">
        <f>Roma!C14</f>
        <v>43</v>
      </c>
      <c r="D13" s="85" t="s">
        <v>96</v>
      </c>
      <c r="E13" s="85" t="str">
        <f>Roma!E14</f>
        <v>Mayojoa</v>
      </c>
      <c r="F13" s="25">
        <f>Roma!H14</f>
        <v>39</v>
      </c>
      <c r="G13" s="75">
        <f>Roma!K14</f>
        <v>388.46</v>
      </c>
      <c r="H13" s="84">
        <v>0</v>
      </c>
      <c r="I13" s="75">
        <f>F13*G13-H13</f>
        <v>15149.939999999999</v>
      </c>
      <c r="J13" s="94" t="s">
        <v>54</v>
      </c>
      <c r="K13" s="73"/>
      <c r="N13" s="71"/>
      <c r="O13" s="72"/>
    </row>
    <row r="14" spans="2:16" x14ac:dyDescent="0.25">
      <c r="B14" s="91">
        <f>Roma!B15</f>
        <v>46153</v>
      </c>
      <c r="C14" s="85">
        <f>Roma!C15</f>
        <v>44</v>
      </c>
      <c r="D14" s="85" t="s">
        <v>97</v>
      </c>
      <c r="E14" s="85" t="str">
        <f>Roma!E15</f>
        <v>Efrén Medina</v>
      </c>
      <c r="F14" s="25">
        <f>Roma!H15</f>
        <v>240</v>
      </c>
      <c r="G14" s="75">
        <f>Roma!K15</f>
        <v>400</v>
      </c>
      <c r="H14" s="84">
        <v>0</v>
      </c>
      <c r="I14" s="75">
        <f t="shared" ref="I14" si="2">F14*G14-H14</f>
        <v>96000</v>
      </c>
      <c r="J14" s="94" t="s">
        <v>54</v>
      </c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/>
      <c r="I15" s="75"/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/>
      <c r="I16" s="75"/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/>
      <c r="I17" s="75"/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/>
      <c r="I18" s="75"/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498095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Roma!Q2</f>
        <v>79872.307000000001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+Roma!R2</f>
        <v>718850.76300000004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300628.07000000007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H6" sqref="H6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35</v>
      </c>
      <c r="I1" s="139">
        <f>I2/(F2*17)</f>
        <v>14.937611408199643</v>
      </c>
      <c r="J1" s="140" t="s">
        <v>36</v>
      </c>
    </row>
    <row r="2" spans="2:16" ht="16.5" thickBot="1" x14ac:dyDescent="0.3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0</v>
      </c>
      <c r="K2" s="55">
        <f>O44</f>
        <v>8380</v>
      </c>
      <c r="L2" s="56" t="s">
        <v>37</v>
      </c>
      <c r="O2" s="46" t="s">
        <v>38</v>
      </c>
    </row>
    <row r="3" spans="2:16" ht="15.75" thickBot="1" x14ac:dyDescent="0.3">
      <c r="B3" s="151" t="s">
        <v>1</v>
      </c>
      <c r="C3" s="152" t="s">
        <v>2</v>
      </c>
      <c r="D3" s="152" t="s">
        <v>39</v>
      </c>
      <c r="E3" s="152" t="s">
        <v>4</v>
      </c>
      <c r="F3" s="153" t="s">
        <v>40</v>
      </c>
      <c r="G3" s="154" t="s">
        <v>10</v>
      </c>
      <c r="H3" s="155" t="s">
        <v>13</v>
      </c>
      <c r="I3" s="156" t="s">
        <v>41</v>
      </c>
      <c r="J3" s="67" t="s">
        <v>42</v>
      </c>
      <c r="K3" s="143">
        <v>0</v>
      </c>
      <c r="L3" s="56" t="s">
        <v>43</v>
      </c>
      <c r="N3" s="66" t="s">
        <v>1</v>
      </c>
      <c r="O3" s="67" t="s">
        <v>41</v>
      </c>
    </row>
    <row r="4" spans="2:16" ht="15.75" thickBot="1" x14ac:dyDescent="0.3">
      <c r="B4" s="149">
        <f>Morrón!B4</f>
        <v>46139</v>
      </c>
      <c r="C4" s="150">
        <f>Morrón!C4</f>
        <v>24</v>
      </c>
      <c r="D4" s="150" t="s">
        <v>80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54</v>
      </c>
      <c r="K4" s="142">
        <f>[1]VENTAS!R2</f>
        <v>691969.5</v>
      </c>
      <c r="L4" s="56" t="s">
        <v>46</v>
      </c>
      <c r="N4" s="69"/>
      <c r="O4" s="70"/>
    </row>
    <row r="5" spans="2:16" x14ac:dyDescent="0.25">
      <c r="B5" s="149">
        <f>Morrón!B5</f>
        <v>46151</v>
      </c>
      <c r="C5" s="150">
        <f>Morrón!C5</f>
        <v>40</v>
      </c>
      <c r="D5" s="85" t="s">
        <v>92</v>
      </c>
      <c r="E5" s="150" t="str">
        <f>Morrón!E5</f>
        <v>Mayojoa</v>
      </c>
      <c r="F5" s="19">
        <f>Morrón!G5</f>
        <v>23</v>
      </c>
      <c r="G5" s="84">
        <f>Morrón!K5</f>
        <v>260</v>
      </c>
      <c r="H5" s="84">
        <v>0</v>
      </c>
      <c r="I5" s="84">
        <f t="shared" ref="I5" si="1">F5*G5-H5</f>
        <v>5980</v>
      </c>
      <c r="J5" s="157" t="s">
        <v>54</v>
      </c>
      <c r="N5" s="71"/>
      <c r="O5" s="72"/>
      <c r="P5" s="141"/>
    </row>
    <row r="6" spans="2:16" x14ac:dyDescent="0.25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25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25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25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25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25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25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25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25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0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72</v>
      </c>
      <c r="O40" s="67">
        <f>Morrón!Q2</f>
        <v>838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73</v>
      </c>
      <c r="O42" s="67">
        <f>+Morrón!R2</f>
        <v>7542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74</v>
      </c>
      <c r="O44" s="67">
        <f>+O42+O40-O38</f>
        <v>8380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L12"/>
  <sheetViews>
    <sheetView topLeftCell="B1" workbookViewId="0">
      <selection activeCell="K6" sqref="K6"/>
    </sheetView>
  </sheetViews>
  <sheetFormatPr baseColWidth="10" defaultColWidth="11.42578125" defaultRowHeight="15" x14ac:dyDescent="0.2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</cols>
  <sheetData>
    <row r="2" spans="4:12" ht="30" x14ac:dyDescent="0.25">
      <c r="D2" s="169" t="s">
        <v>81</v>
      </c>
    </row>
    <row r="3" spans="4:12" x14ac:dyDescent="0.25">
      <c r="E3" s="47"/>
      <c r="F3" s="47"/>
      <c r="G3" s="47"/>
      <c r="H3" s="47"/>
      <c r="I3" s="47"/>
      <c r="J3" s="47"/>
      <c r="K3" s="47"/>
      <c r="L3" s="47"/>
    </row>
    <row r="4" spans="4:12" ht="23.25" customHeight="1" x14ac:dyDescent="0.25">
      <c r="E4" s="170" t="s">
        <v>82</v>
      </c>
      <c r="F4" s="170" t="s">
        <v>83</v>
      </c>
      <c r="G4" s="170" t="s">
        <v>84</v>
      </c>
      <c r="H4" s="170"/>
      <c r="I4" s="170" t="s">
        <v>85</v>
      </c>
      <c r="J4" s="170" t="s">
        <v>86</v>
      </c>
      <c r="K4" s="170" t="s">
        <v>87</v>
      </c>
      <c r="L4" s="47"/>
    </row>
    <row r="5" spans="4:12" ht="23.25" customHeight="1" x14ac:dyDescent="0.25">
      <c r="D5" t="s">
        <v>88</v>
      </c>
      <c r="E5" s="167">
        <f>+Tomatillo!O2</f>
        <v>1011938.56</v>
      </c>
      <c r="F5" s="167">
        <f>+'Estado de Cuenta T'!O39</f>
        <v>706265</v>
      </c>
      <c r="G5" s="171">
        <f>+E5-F5</f>
        <v>305673.56000000006</v>
      </c>
      <c r="H5" s="167"/>
      <c r="I5" s="167">
        <f>+Tomatillo!Q2</f>
        <v>92709.664000000019</v>
      </c>
      <c r="J5" s="167">
        <v>60149</v>
      </c>
      <c r="K5" s="167">
        <f>+G5-I5+J5</f>
        <v>273112.89600000007</v>
      </c>
    </row>
    <row r="6" spans="4:12" ht="23.25" customHeight="1" x14ac:dyDescent="0.25">
      <c r="D6" t="s">
        <v>89</v>
      </c>
      <c r="E6" s="167">
        <f>+Roma!O2</f>
        <v>798723.07000000007</v>
      </c>
      <c r="F6" s="167">
        <f>+'Estado de Cuenta R'!O38</f>
        <v>498095</v>
      </c>
      <c r="G6" s="171">
        <f>+E6-F6</f>
        <v>300628.07000000007</v>
      </c>
      <c r="H6" s="167"/>
      <c r="I6" s="167">
        <f>+Roma!Q2</f>
        <v>79872.307000000001</v>
      </c>
      <c r="J6" s="167">
        <v>11968</v>
      </c>
      <c r="K6" s="167">
        <f t="shared" ref="K6:K7" si="0">+G6-I6+J6</f>
        <v>232723.76300000006</v>
      </c>
    </row>
    <row r="7" spans="4:12" ht="23.25" customHeight="1" x14ac:dyDescent="0.25">
      <c r="D7" t="s">
        <v>90</v>
      </c>
      <c r="E7" s="167">
        <f>+Morrón!O2</f>
        <v>8380</v>
      </c>
      <c r="F7" s="167">
        <f>+'Estado de Cuenta M'!O38</f>
        <v>0</v>
      </c>
      <c r="G7" s="171">
        <f>+E7-F7</f>
        <v>8380</v>
      </c>
      <c r="H7" s="167"/>
      <c r="I7" s="167">
        <f>+Morrón!Q2</f>
        <v>838</v>
      </c>
      <c r="J7" s="167">
        <v>0</v>
      </c>
      <c r="K7" s="167">
        <f t="shared" si="0"/>
        <v>7542</v>
      </c>
    </row>
    <row r="8" spans="4:12" ht="23.25" customHeight="1" x14ac:dyDescent="0.25">
      <c r="E8" s="167"/>
      <c r="F8" s="167"/>
      <c r="G8" s="171"/>
      <c r="H8" s="167"/>
      <c r="I8" s="167"/>
      <c r="J8" s="167"/>
      <c r="K8" s="167"/>
    </row>
    <row r="9" spans="4:12" ht="23.25" customHeight="1" x14ac:dyDescent="0.25">
      <c r="E9" s="168">
        <f>SUM(E5:E8)</f>
        <v>1819041.6300000001</v>
      </c>
      <c r="F9" s="168">
        <f>SUM(F5:F8)</f>
        <v>1204360</v>
      </c>
      <c r="G9" s="172">
        <f>SUM(G5:G8)</f>
        <v>614681.63000000012</v>
      </c>
      <c r="H9" s="168"/>
      <c r="I9" s="168">
        <f>SUM(I5:I8)</f>
        <v>173419.97100000002</v>
      </c>
      <c r="J9" s="168">
        <f>SUM(J5:J8)</f>
        <v>72117</v>
      </c>
      <c r="K9" s="168">
        <f>+G9-I9+J9</f>
        <v>513378.6590000001</v>
      </c>
    </row>
    <row r="10" spans="4:12" ht="23.25" customHeight="1" x14ac:dyDescent="0.25">
      <c r="E10" s="167"/>
      <c r="F10" s="167"/>
      <c r="G10" s="167"/>
      <c r="H10" s="167"/>
      <c r="I10" s="167"/>
      <c r="J10" s="167"/>
      <c r="K10" s="166"/>
      <c r="L10" s="167"/>
    </row>
    <row r="11" spans="4:12" ht="23.25" customHeight="1" x14ac:dyDescent="0.25">
      <c r="E11" s="167"/>
      <c r="F11" s="167"/>
      <c r="G11" s="167"/>
      <c r="H11" s="167"/>
      <c r="I11" s="167">
        <f>+I9-J9</f>
        <v>101302.97100000002</v>
      </c>
      <c r="J11" s="167"/>
      <c r="K11" s="166"/>
      <c r="L11" s="167"/>
    </row>
    <row r="12" spans="4:12" x14ac:dyDescent="0.25">
      <c r="E12" s="167"/>
      <c r="F12" s="167"/>
      <c r="G12" s="167"/>
      <c r="H12" s="167"/>
      <c r="I12" s="167" t="s">
        <v>91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miguel esquer felix</cp:lastModifiedBy>
  <cp:revision/>
  <dcterms:created xsi:type="dcterms:W3CDTF">2026-04-16T20:18:33Z</dcterms:created>
  <dcterms:modified xsi:type="dcterms:W3CDTF">2026-05-13T00:18:52Z</dcterms:modified>
  <cp:category/>
  <cp:contentStatus/>
</cp:coreProperties>
</file>