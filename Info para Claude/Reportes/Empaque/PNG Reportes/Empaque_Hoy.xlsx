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87611319785eae/Documentos/GitHub/H2E-Crown/Info para Claude/Reportes/Empaque/PNG Reportes/"/>
    </mc:Choice>
  </mc:AlternateContent>
  <xr:revisionPtr revIDLastSave="31" documentId="8_{62FC8FF9-F488-46BD-B4C6-E467AFC29EFD}" xr6:coauthVersionLast="47" xr6:coauthVersionMax="47" xr10:uidLastSave="{21937FBF-569B-4997-BFC9-F3BEFE0F9FAB}"/>
  <bookViews>
    <workbookView xWindow="-108" yWindow="-108" windowWidth="23256" windowHeight="12456" xr2:uid="{3C31BBD7-DEED-4F95-A4CD-7DCF87BD03C6}"/>
  </bookViews>
  <sheets>
    <sheet name="p PDF" sheetId="4" r:id="rId1"/>
  </sheets>
  <externalReferences>
    <externalReference r:id="rId2"/>
    <externalReference r:id="rId3"/>
    <externalReference r:id="rId4"/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99" i="4" l="1"/>
  <c r="E99" i="4"/>
  <c r="F98" i="4"/>
  <c r="E98" i="4"/>
  <c r="F97" i="4"/>
  <c r="E97" i="4"/>
  <c r="F96" i="4"/>
  <c r="E96" i="4"/>
  <c r="C96" i="4"/>
  <c r="C87" i="4"/>
  <c r="C86" i="4"/>
  <c r="C85" i="4"/>
  <c r="H69" i="4"/>
  <c r="G69" i="4"/>
  <c r="C69" i="4"/>
  <c r="H68" i="4"/>
  <c r="G68" i="4"/>
  <c r="C68" i="4"/>
  <c r="G67" i="4"/>
  <c r="H66" i="4"/>
  <c r="AB65" i="4"/>
  <c r="H65" i="4"/>
  <c r="I64" i="4"/>
  <c r="H64" i="4"/>
  <c r="G64" i="4"/>
  <c r="C64" i="4"/>
  <c r="B64" i="4"/>
  <c r="I63" i="4"/>
  <c r="G63" i="4"/>
  <c r="C60" i="4"/>
  <c r="AB59" i="4"/>
  <c r="AB58" i="4"/>
  <c r="Z58" i="4"/>
  <c r="Q58" i="4"/>
  <c r="J58" i="4"/>
  <c r="I58" i="4"/>
  <c r="H58" i="4"/>
  <c r="G58" i="4"/>
  <c r="F58" i="4"/>
  <c r="E58" i="4"/>
  <c r="C58" i="4"/>
  <c r="AC56" i="4"/>
  <c r="AB56" i="4"/>
  <c r="K56" i="4"/>
  <c r="J56" i="4"/>
  <c r="I56" i="4"/>
  <c r="H56" i="4"/>
  <c r="G56" i="4"/>
  <c r="F56" i="4"/>
  <c r="E56" i="4"/>
  <c r="D56" i="4"/>
  <c r="C56" i="4"/>
  <c r="AC55" i="4"/>
  <c r="AB55" i="4"/>
  <c r="AA55" i="4"/>
  <c r="Z55" i="4"/>
  <c r="J55" i="4"/>
  <c r="I55" i="4"/>
  <c r="H55" i="4"/>
  <c r="G55" i="4"/>
  <c r="F55" i="4"/>
  <c r="E55" i="4"/>
  <c r="D55" i="4"/>
  <c r="C55" i="4"/>
  <c r="B55" i="4"/>
  <c r="A55" i="4"/>
  <c r="AC54" i="4"/>
  <c r="AB54" i="4"/>
  <c r="AA54" i="4"/>
  <c r="Z54" i="4"/>
  <c r="J54" i="4"/>
  <c r="I54" i="4"/>
  <c r="H54" i="4"/>
  <c r="G54" i="4"/>
  <c r="F54" i="4"/>
  <c r="E54" i="4"/>
  <c r="D54" i="4"/>
  <c r="C54" i="4"/>
  <c r="L54" i="4" s="1"/>
  <c r="M54" i="4" s="1"/>
  <c r="B54" i="4"/>
  <c r="A54" i="4"/>
  <c r="AC53" i="4"/>
  <c r="AB53" i="4"/>
  <c r="AA53" i="4"/>
  <c r="Z53" i="4"/>
  <c r="J53" i="4"/>
  <c r="I53" i="4"/>
  <c r="H53" i="4"/>
  <c r="G53" i="4"/>
  <c r="F53" i="4"/>
  <c r="E53" i="4"/>
  <c r="D53" i="4"/>
  <c r="C53" i="4"/>
  <c r="L53" i="4" s="1"/>
  <c r="M53" i="4" s="1"/>
  <c r="B53" i="4"/>
  <c r="A53" i="4"/>
  <c r="AC52" i="4"/>
  <c r="AB52" i="4"/>
  <c r="AA52" i="4"/>
  <c r="Z52" i="4"/>
  <c r="J52" i="4"/>
  <c r="I52" i="4"/>
  <c r="H52" i="4"/>
  <c r="G52" i="4"/>
  <c r="F52" i="4"/>
  <c r="E52" i="4"/>
  <c r="D52" i="4"/>
  <c r="C52" i="4"/>
  <c r="L52" i="4" s="1"/>
  <c r="M52" i="4" s="1"/>
  <c r="B52" i="4"/>
  <c r="A52" i="4"/>
  <c r="AC51" i="4"/>
  <c r="AB51" i="4"/>
  <c r="AA51" i="4"/>
  <c r="Z51" i="4"/>
  <c r="J51" i="4"/>
  <c r="I51" i="4"/>
  <c r="H51" i="4"/>
  <c r="G51" i="4"/>
  <c r="F51" i="4"/>
  <c r="E51" i="4"/>
  <c r="D51" i="4"/>
  <c r="C51" i="4"/>
  <c r="L51" i="4" s="1"/>
  <c r="M51" i="4" s="1"/>
  <c r="B51" i="4"/>
  <c r="A51" i="4"/>
  <c r="AC50" i="4"/>
  <c r="AB50" i="4"/>
  <c r="AA50" i="4"/>
  <c r="Z50" i="4"/>
  <c r="J50" i="4"/>
  <c r="I50" i="4"/>
  <c r="H50" i="4"/>
  <c r="G50" i="4"/>
  <c r="F50" i="4"/>
  <c r="E50" i="4"/>
  <c r="D50" i="4"/>
  <c r="C50" i="4"/>
  <c r="L50" i="4" s="1"/>
  <c r="M50" i="4" s="1"/>
  <c r="B50" i="4"/>
  <c r="A50" i="4"/>
  <c r="AA49" i="4"/>
  <c r="Z49" i="4"/>
  <c r="B49" i="4"/>
  <c r="A49" i="4"/>
  <c r="J48" i="4"/>
  <c r="I48" i="4"/>
  <c r="H48" i="4"/>
  <c r="G48" i="4"/>
  <c r="F48" i="4"/>
  <c r="E48" i="4"/>
  <c r="D48" i="4"/>
  <c r="C48" i="4"/>
  <c r="K48" i="4" s="1"/>
  <c r="J47" i="4"/>
  <c r="I47" i="4"/>
  <c r="H47" i="4"/>
  <c r="G47" i="4"/>
  <c r="F47" i="4"/>
  <c r="E47" i="4"/>
  <c r="D47" i="4"/>
  <c r="C47" i="4"/>
  <c r="L47" i="4" s="1"/>
  <c r="M47" i="4" s="1"/>
  <c r="B47" i="4"/>
  <c r="A47" i="4"/>
  <c r="J46" i="4"/>
  <c r="I46" i="4"/>
  <c r="H46" i="4"/>
  <c r="G46" i="4"/>
  <c r="F46" i="4"/>
  <c r="E46" i="4"/>
  <c r="D46" i="4"/>
  <c r="C46" i="4"/>
  <c r="L46" i="4" s="1"/>
  <c r="M46" i="4" s="1"/>
  <c r="B46" i="4"/>
  <c r="A46" i="4"/>
  <c r="J45" i="4"/>
  <c r="I45" i="4"/>
  <c r="H45" i="4"/>
  <c r="G45" i="4"/>
  <c r="F45" i="4"/>
  <c r="E45" i="4"/>
  <c r="D45" i="4"/>
  <c r="C45" i="4"/>
  <c r="L45" i="4" s="1"/>
  <c r="M45" i="4" s="1"/>
  <c r="B45" i="4"/>
  <c r="A45" i="4"/>
  <c r="J44" i="4"/>
  <c r="I44" i="4"/>
  <c r="H44" i="4"/>
  <c r="G44" i="4"/>
  <c r="F44" i="4"/>
  <c r="E44" i="4"/>
  <c r="D44" i="4"/>
  <c r="C44" i="4"/>
  <c r="L44" i="4" s="1"/>
  <c r="M44" i="4" s="1"/>
  <c r="B44" i="4"/>
  <c r="A44" i="4"/>
  <c r="J43" i="4"/>
  <c r="I43" i="4"/>
  <c r="H43" i="4"/>
  <c r="G43" i="4"/>
  <c r="F43" i="4"/>
  <c r="E43" i="4"/>
  <c r="D43" i="4"/>
  <c r="C43" i="4"/>
  <c r="L43" i="4" s="1"/>
  <c r="M43" i="4" s="1"/>
  <c r="B43" i="4"/>
  <c r="A43" i="4"/>
  <c r="J42" i="4"/>
  <c r="I42" i="4"/>
  <c r="H42" i="4"/>
  <c r="G42" i="4"/>
  <c r="F42" i="4"/>
  <c r="E42" i="4"/>
  <c r="D42" i="4"/>
  <c r="C42" i="4"/>
  <c r="L42" i="4" s="1"/>
  <c r="M42" i="4" s="1"/>
  <c r="B42" i="4"/>
  <c r="A42" i="4"/>
  <c r="B41" i="4"/>
  <c r="A41" i="4"/>
  <c r="AC40" i="4"/>
  <c r="AB40" i="4"/>
  <c r="J40" i="4"/>
  <c r="I40" i="4"/>
  <c r="H40" i="4"/>
  <c r="G40" i="4"/>
  <c r="F40" i="4"/>
  <c r="E40" i="4"/>
  <c r="D40" i="4"/>
  <c r="C40" i="4"/>
  <c r="AC39" i="4"/>
  <c r="AB39" i="4"/>
  <c r="AA39" i="4"/>
  <c r="Z39" i="4"/>
  <c r="J39" i="4"/>
  <c r="I39" i="4"/>
  <c r="H39" i="4"/>
  <c r="G39" i="4"/>
  <c r="F39" i="4"/>
  <c r="E39" i="4"/>
  <c r="D39" i="4"/>
  <c r="C39" i="4"/>
  <c r="L39" i="4" s="1"/>
  <c r="M39" i="4" s="1"/>
  <c r="B39" i="4"/>
  <c r="A39" i="4"/>
  <c r="AC38" i="4"/>
  <c r="AB38" i="4"/>
  <c r="AA38" i="4"/>
  <c r="Z38" i="4"/>
  <c r="J38" i="4"/>
  <c r="I38" i="4"/>
  <c r="H38" i="4"/>
  <c r="G38" i="4"/>
  <c r="F38" i="4"/>
  <c r="E38" i="4"/>
  <c r="D38" i="4"/>
  <c r="C38" i="4"/>
  <c r="L38" i="4" s="1"/>
  <c r="M38" i="4" s="1"/>
  <c r="B38" i="4"/>
  <c r="A38" i="4"/>
  <c r="AC37" i="4"/>
  <c r="AB37" i="4"/>
  <c r="AA37" i="4"/>
  <c r="Z37" i="4"/>
  <c r="J37" i="4"/>
  <c r="I37" i="4"/>
  <c r="H37" i="4"/>
  <c r="G37" i="4"/>
  <c r="F37" i="4"/>
  <c r="E37" i="4"/>
  <c r="D37" i="4"/>
  <c r="C37" i="4"/>
  <c r="L37" i="4" s="1"/>
  <c r="M37" i="4" s="1"/>
  <c r="B37" i="4"/>
  <c r="A37" i="4"/>
  <c r="AC36" i="4"/>
  <c r="AB36" i="4"/>
  <c r="AA36" i="4"/>
  <c r="Z36" i="4"/>
  <c r="J36" i="4"/>
  <c r="I36" i="4"/>
  <c r="H36" i="4"/>
  <c r="G36" i="4"/>
  <c r="F36" i="4"/>
  <c r="E36" i="4"/>
  <c r="D36" i="4"/>
  <c r="C36" i="4"/>
  <c r="L36" i="4" s="1"/>
  <c r="M36" i="4" s="1"/>
  <c r="B36" i="4"/>
  <c r="A36" i="4"/>
  <c r="AC35" i="4"/>
  <c r="AB35" i="4"/>
  <c r="AA35" i="4"/>
  <c r="Z35" i="4"/>
  <c r="J35" i="4"/>
  <c r="I35" i="4"/>
  <c r="H35" i="4"/>
  <c r="G35" i="4"/>
  <c r="F35" i="4"/>
  <c r="E35" i="4"/>
  <c r="D35" i="4"/>
  <c r="C35" i="4"/>
  <c r="L35" i="4" s="1"/>
  <c r="M35" i="4" s="1"/>
  <c r="B35" i="4"/>
  <c r="A35" i="4"/>
  <c r="AC34" i="4"/>
  <c r="AB34" i="4"/>
  <c r="AA34" i="4"/>
  <c r="Z34" i="4"/>
  <c r="J34" i="4"/>
  <c r="I34" i="4"/>
  <c r="H34" i="4"/>
  <c r="G34" i="4"/>
  <c r="F34" i="4"/>
  <c r="E34" i="4"/>
  <c r="D34" i="4"/>
  <c r="C34" i="4"/>
  <c r="L34" i="4" s="1"/>
  <c r="M34" i="4" s="1"/>
  <c r="B34" i="4"/>
  <c r="A34" i="4"/>
  <c r="AA33" i="4"/>
  <c r="Z33" i="4"/>
  <c r="B33" i="4"/>
  <c r="A33" i="4"/>
  <c r="AC32" i="4"/>
  <c r="AB32" i="4"/>
  <c r="J32" i="4"/>
  <c r="I32" i="4"/>
  <c r="J60" i="4" s="1"/>
  <c r="H32" i="4"/>
  <c r="G32" i="4"/>
  <c r="F32" i="4"/>
  <c r="E32" i="4"/>
  <c r="D32" i="4"/>
  <c r="C32" i="4"/>
  <c r="K32" i="4" s="1"/>
  <c r="AC31" i="4"/>
  <c r="AB31" i="4"/>
  <c r="AA31" i="4"/>
  <c r="Z31" i="4"/>
  <c r="L31" i="4"/>
  <c r="J31" i="4"/>
  <c r="I31" i="4"/>
  <c r="H31" i="4"/>
  <c r="G31" i="4"/>
  <c r="F31" i="4"/>
  <c r="E31" i="4"/>
  <c r="M31" i="4" s="1"/>
  <c r="D31" i="4"/>
  <c r="C31" i="4"/>
  <c r="B31" i="4"/>
  <c r="A31" i="4"/>
  <c r="AC30" i="4"/>
  <c r="AB30" i="4"/>
  <c r="AA30" i="4"/>
  <c r="Z30" i="4"/>
  <c r="L30" i="4"/>
  <c r="J30" i="4"/>
  <c r="I30" i="4"/>
  <c r="H30" i="4"/>
  <c r="G30" i="4"/>
  <c r="F30" i="4"/>
  <c r="E30" i="4"/>
  <c r="M30" i="4" s="1"/>
  <c r="D30" i="4"/>
  <c r="C30" i="4"/>
  <c r="B30" i="4"/>
  <c r="A30" i="4"/>
  <c r="AC29" i="4"/>
  <c r="AB29" i="4"/>
  <c r="AA29" i="4"/>
  <c r="Z29" i="4"/>
  <c r="L29" i="4"/>
  <c r="J29" i="4"/>
  <c r="I29" i="4"/>
  <c r="H29" i="4"/>
  <c r="G29" i="4"/>
  <c r="F29" i="4"/>
  <c r="E29" i="4"/>
  <c r="M29" i="4" s="1"/>
  <c r="D29" i="4"/>
  <c r="C29" i="4"/>
  <c r="B29" i="4"/>
  <c r="A29" i="4"/>
  <c r="AC28" i="4"/>
  <c r="AB28" i="4"/>
  <c r="AA28" i="4"/>
  <c r="Z28" i="4"/>
  <c r="L28" i="4"/>
  <c r="J28" i="4"/>
  <c r="I28" i="4"/>
  <c r="H28" i="4"/>
  <c r="G28" i="4"/>
  <c r="F28" i="4"/>
  <c r="E28" i="4"/>
  <c r="M28" i="4" s="1"/>
  <c r="D28" i="4"/>
  <c r="C28" i="4"/>
  <c r="B28" i="4"/>
  <c r="A28" i="4"/>
  <c r="AC27" i="4"/>
  <c r="AB27" i="4"/>
  <c r="AA27" i="4"/>
  <c r="Z27" i="4"/>
  <c r="L27" i="4"/>
  <c r="J27" i="4"/>
  <c r="I27" i="4"/>
  <c r="H27" i="4"/>
  <c r="G27" i="4"/>
  <c r="F27" i="4"/>
  <c r="E27" i="4"/>
  <c r="M27" i="4" s="1"/>
  <c r="D27" i="4"/>
  <c r="C27" i="4"/>
  <c r="B27" i="4"/>
  <c r="A27" i="4"/>
  <c r="AC26" i="4"/>
  <c r="AB26" i="4"/>
  <c r="AA26" i="4"/>
  <c r="Z26" i="4"/>
  <c r="L26" i="4"/>
  <c r="J26" i="4"/>
  <c r="I26" i="4"/>
  <c r="H26" i="4"/>
  <c r="G26" i="4"/>
  <c r="F26" i="4"/>
  <c r="E26" i="4"/>
  <c r="M26" i="4" s="1"/>
  <c r="D26" i="4"/>
  <c r="C26" i="4"/>
  <c r="K58" i="4" s="1"/>
  <c r="B26" i="4"/>
  <c r="A26" i="4"/>
  <c r="AA25" i="4"/>
  <c r="Z25" i="4"/>
  <c r="B25" i="4"/>
  <c r="A25" i="4"/>
  <c r="AC24" i="4"/>
  <c r="AB24" i="4"/>
  <c r="K24" i="4"/>
  <c r="J24" i="4"/>
  <c r="I24" i="4"/>
  <c r="H24" i="4"/>
  <c r="G24" i="4"/>
  <c r="F24" i="4"/>
  <c r="E24" i="4"/>
  <c r="D24" i="4"/>
  <c r="C24" i="4"/>
  <c r="AC23" i="4"/>
  <c r="AB23" i="4"/>
  <c r="AA23" i="4"/>
  <c r="Z23" i="4"/>
  <c r="J23" i="4"/>
  <c r="I23" i="4"/>
  <c r="H23" i="4"/>
  <c r="G23" i="4"/>
  <c r="F23" i="4"/>
  <c r="E23" i="4"/>
  <c r="D23" i="4"/>
  <c r="C23" i="4"/>
  <c r="B23" i="4"/>
  <c r="A23" i="4"/>
  <c r="AC22" i="4"/>
  <c r="AB22" i="4"/>
  <c r="AA22" i="4"/>
  <c r="Z22" i="4"/>
  <c r="J22" i="4"/>
  <c r="I22" i="4"/>
  <c r="H22" i="4"/>
  <c r="G22" i="4"/>
  <c r="F22" i="4"/>
  <c r="E22" i="4"/>
  <c r="D22" i="4"/>
  <c r="C22" i="4"/>
  <c r="B22" i="4"/>
  <c r="A22" i="4"/>
  <c r="AC21" i="4"/>
  <c r="AB21" i="4"/>
  <c r="AA21" i="4"/>
  <c r="Z21" i="4"/>
  <c r="J21" i="4"/>
  <c r="I21" i="4"/>
  <c r="H21" i="4"/>
  <c r="G21" i="4"/>
  <c r="F21" i="4"/>
  <c r="E21" i="4"/>
  <c r="D21" i="4"/>
  <c r="C21" i="4"/>
  <c r="L21" i="4" s="1"/>
  <c r="B21" i="4"/>
  <c r="A21" i="4"/>
  <c r="AC20" i="4"/>
  <c r="AB20" i="4"/>
  <c r="AA20" i="4"/>
  <c r="Z20" i="4"/>
  <c r="J20" i="4"/>
  <c r="I20" i="4"/>
  <c r="H20" i="4"/>
  <c r="G20" i="4"/>
  <c r="F20" i="4"/>
  <c r="E20" i="4"/>
  <c r="M20" i="4" s="1"/>
  <c r="D20" i="4"/>
  <c r="C20" i="4"/>
  <c r="L20" i="4" s="1"/>
  <c r="B20" i="4"/>
  <c r="A20" i="4"/>
  <c r="AC19" i="4"/>
  <c r="AB19" i="4"/>
  <c r="AA19" i="4"/>
  <c r="Z19" i="4"/>
  <c r="J19" i="4"/>
  <c r="I19" i="4"/>
  <c r="H19" i="4"/>
  <c r="G19" i="4"/>
  <c r="F19" i="4"/>
  <c r="E19" i="4"/>
  <c r="D19" i="4"/>
  <c r="C19" i="4"/>
  <c r="L19" i="4" s="1"/>
  <c r="B19" i="4"/>
  <c r="A19" i="4"/>
  <c r="AC18" i="4"/>
  <c r="AB18" i="4"/>
  <c r="AA18" i="4"/>
  <c r="Z18" i="4"/>
  <c r="J18" i="4"/>
  <c r="I18" i="4"/>
  <c r="H18" i="4"/>
  <c r="G18" i="4"/>
  <c r="F18" i="4"/>
  <c r="E18" i="4"/>
  <c r="M18" i="4" s="1"/>
  <c r="D18" i="4"/>
  <c r="C18" i="4"/>
  <c r="L18" i="4" s="1"/>
  <c r="B18" i="4"/>
  <c r="A18" i="4"/>
  <c r="AA17" i="4"/>
  <c r="Z17" i="4"/>
  <c r="B17" i="4"/>
  <c r="A17" i="4"/>
  <c r="AC16" i="4"/>
  <c r="AB16" i="4"/>
  <c r="J16" i="4"/>
  <c r="I16" i="4"/>
  <c r="J59" i="4" s="1"/>
  <c r="H16" i="4"/>
  <c r="G16" i="4"/>
  <c r="F16" i="4"/>
  <c r="E16" i="4"/>
  <c r="D16" i="4"/>
  <c r="C16" i="4"/>
  <c r="AC15" i="4"/>
  <c r="AB15" i="4"/>
  <c r="AA15" i="4"/>
  <c r="Z15" i="4"/>
  <c r="J15" i="4"/>
  <c r="I15" i="4"/>
  <c r="H15" i="4"/>
  <c r="G15" i="4"/>
  <c r="F15" i="4"/>
  <c r="E15" i="4"/>
  <c r="D15" i="4"/>
  <c r="C15" i="4"/>
  <c r="L15" i="4" s="1"/>
  <c r="B15" i="4"/>
  <c r="A15" i="4"/>
  <c r="AC14" i="4"/>
  <c r="AB14" i="4"/>
  <c r="AA14" i="4"/>
  <c r="Z14" i="4"/>
  <c r="J14" i="4"/>
  <c r="I14" i="4"/>
  <c r="H14" i="4"/>
  <c r="G14" i="4"/>
  <c r="F14" i="4"/>
  <c r="E14" i="4"/>
  <c r="D14" i="4"/>
  <c r="C14" i="4"/>
  <c r="L14" i="4" s="1"/>
  <c r="B14" i="4"/>
  <c r="A14" i="4"/>
  <c r="AC13" i="4"/>
  <c r="AB13" i="4"/>
  <c r="AA13" i="4"/>
  <c r="Z13" i="4"/>
  <c r="J13" i="4"/>
  <c r="I13" i="4"/>
  <c r="H13" i="4"/>
  <c r="G13" i="4"/>
  <c r="F13" i="4"/>
  <c r="E13" i="4"/>
  <c r="D13" i="4"/>
  <c r="C13" i="4"/>
  <c r="B13" i="4"/>
  <c r="A13" i="4"/>
  <c r="AC12" i="4"/>
  <c r="AB12" i="4"/>
  <c r="AA12" i="4"/>
  <c r="Z12" i="4"/>
  <c r="J12" i="4"/>
  <c r="I12" i="4"/>
  <c r="H12" i="4"/>
  <c r="G12" i="4"/>
  <c r="F12" i="4"/>
  <c r="E12" i="4"/>
  <c r="D12" i="4"/>
  <c r="C12" i="4"/>
  <c r="L12" i="4" s="1"/>
  <c r="B12" i="4"/>
  <c r="A12" i="4"/>
  <c r="AC11" i="4"/>
  <c r="AB11" i="4"/>
  <c r="AA11" i="4"/>
  <c r="Z11" i="4"/>
  <c r="J11" i="4"/>
  <c r="I11" i="4"/>
  <c r="H11" i="4"/>
  <c r="G11" i="4"/>
  <c r="F11" i="4"/>
  <c r="E11" i="4"/>
  <c r="D11" i="4"/>
  <c r="C11" i="4"/>
  <c r="L11" i="4" s="1"/>
  <c r="B11" i="4"/>
  <c r="A11" i="4"/>
  <c r="AC10" i="4"/>
  <c r="AB10" i="4"/>
  <c r="AB62" i="4" s="1"/>
  <c r="AA10" i="4"/>
  <c r="Z10" i="4"/>
  <c r="J10" i="4"/>
  <c r="I10" i="4"/>
  <c r="H10" i="4"/>
  <c r="G10" i="4"/>
  <c r="F10" i="4"/>
  <c r="E10" i="4"/>
  <c r="D10" i="4"/>
  <c r="C10" i="4"/>
  <c r="K16" i="4" s="1"/>
  <c r="B10" i="4"/>
  <c r="A10" i="4"/>
  <c r="AA9" i="4"/>
  <c r="Z9" i="4"/>
  <c r="B9" i="4"/>
  <c r="A9" i="4"/>
  <c r="G4" i="4"/>
  <c r="B78" i="4" s="1"/>
  <c r="J2" i="4"/>
  <c r="M40" i="4" l="1"/>
  <c r="M48" i="4"/>
  <c r="L48" i="4" s="1"/>
  <c r="M21" i="4"/>
  <c r="M32" i="4"/>
  <c r="L32" i="4" s="1"/>
  <c r="M23" i="4"/>
  <c r="M13" i="4"/>
  <c r="M19" i="4"/>
  <c r="B79" i="4"/>
  <c r="L10" i="4"/>
  <c r="L13" i="4"/>
  <c r="M10" i="4"/>
  <c r="M11" i="4"/>
  <c r="M12" i="4"/>
  <c r="M14" i="4"/>
  <c r="M15" i="4"/>
  <c r="L22" i="4"/>
  <c r="M22" i="4" s="1"/>
  <c r="L23" i="4"/>
  <c r="K40" i="4"/>
  <c r="L40" i="4" s="1"/>
  <c r="L55" i="4"/>
  <c r="M55" i="4" s="1"/>
  <c r="M56" i="4" s="1"/>
  <c r="L56" i="4" s="1"/>
  <c r="AB63" i="4"/>
  <c r="B77" i="4"/>
  <c r="B90" i="4"/>
  <c r="M24" i="4" l="1"/>
  <c r="L24" i="4" s="1"/>
  <c r="M16" i="4"/>
  <c r="M58" i="4" l="1"/>
  <c r="L58" i="4" s="1"/>
  <c r="L16" i="4"/>
  <c r="B76" i="4" l="1"/>
  <c r="C77" i="4" l="1"/>
  <c r="C78" i="4"/>
  <c r="C79" i="4"/>
  <c r="B72" i="4" l="1"/>
  <c r="C72" i="4" s="1"/>
  <c r="B73" i="4" l="1"/>
  <c r="B66" i="4" l="1"/>
  <c r="B65" i="4"/>
  <c r="C66" i="4" l="1"/>
  <c r="G66" i="4"/>
  <c r="C65" i="4"/>
  <c r="C67" i="4" l="1"/>
  <c r="H63" i="4" l="1"/>
  <c r="G65" i="4"/>
</calcChain>
</file>

<file path=xl/sharedStrings.xml><?xml version="1.0" encoding="utf-8"?>
<sst xmlns="http://schemas.openxmlformats.org/spreadsheetml/2006/main" count="117" uniqueCount="73">
  <si>
    <t>H2E México SA de CV</t>
  </si>
  <si>
    <t>Cubeta</t>
  </si>
  <si>
    <t>kg</t>
  </si>
  <si>
    <t>Dia Empaque #</t>
  </si>
  <si>
    <t>Tomato Boy (2da)</t>
  </si>
  <si>
    <t>Agricultor:</t>
  </si>
  <si>
    <t>Bin</t>
  </si>
  <si>
    <t>Reporte Diario de Empaque</t>
  </si>
  <si>
    <t>Caja exp</t>
  </si>
  <si>
    <t>Rancho:</t>
  </si>
  <si>
    <t>Mayela</t>
  </si>
  <si>
    <t>Caja nac</t>
  </si>
  <si>
    <t>Descripción</t>
  </si>
  <si>
    <t>Peso</t>
  </si>
  <si>
    <t>Cajas Emp</t>
  </si>
  <si>
    <t>%</t>
  </si>
  <si>
    <t>Embarque</t>
  </si>
  <si>
    <t>Caja Campo</t>
  </si>
  <si>
    <t>TS</t>
  </si>
  <si>
    <t>Bajas/ Reemp</t>
  </si>
  <si>
    <t>Exp</t>
  </si>
  <si>
    <t>Nac</t>
  </si>
  <si>
    <t>Existencia</t>
  </si>
  <si>
    <t>Pallets</t>
  </si>
  <si>
    <t>Tomate Roma</t>
  </si>
  <si>
    <t>Campo Gusto x 72</t>
  </si>
  <si>
    <t>H2E (2da) x 72</t>
  </si>
  <si>
    <t>H2E (Orig.) x 80</t>
  </si>
  <si>
    <t>Genérica x 80</t>
  </si>
  <si>
    <t>Genérica (23 kg)x 80</t>
  </si>
  <si>
    <t>Precio Est</t>
  </si>
  <si>
    <t>Rec x caj</t>
  </si>
  <si>
    <t>Rec aprox</t>
  </si>
  <si>
    <t>% tamaño</t>
  </si>
  <si>
    <t>Totales</t>
  </si>
  <si>
    <t>x ha</t>
  </si>
  <si>
    <t>Recepción</t>
  </si>
  <si>
    <t>Peso Empacado</t>
  </si>
  <si>
    <t>% Tamaños Grandes</t>
  </si>
  <si>
    <t>kg (Aprox)</t>
  </si>
  <si>
    <t>JB, XL</t>
  </si>
  <si>
    <t>Ant y Reemp</t>
  </si>
  <si>
    <t>% Tamaño</t>
  </si>
  <si>
    <t>Bins</t>
  </si>
  <si>
    <t>Acumulado Semana</t>
  </si>
  <si>
    <t>Cajas</t>
  </si>
  <si>
    <t>1ra</t>
  </si>
  <si>
    <t>2da/ Nac</t>
  </si>
  <si>
    <t>Semana</t>
  </si>
  <si>
    <t>Jb/Xl</t>
  </si>
  <si>
    <t>Acum a fecha x ha</t>
  </si>
  <si>
    <t>vs</t>
  </si>
  <si>
    <t>Control de Calidad</t>
  </si>
  <si>
    <t>Arribo Campo</t>
  </si>
  <si>
    <t>2da/Nac</t>
  </si>
  <si>
    <t>Empacable en Rezaga</t>
  </si>
  <si>
    <t>Planteo</t>
  </si>
  <si>
    <t>1er Corte</t>
  </si>
  <si>
    <t>1er  900/ha</t>
  </si>
  <si>
    <t>Dif dias</t>
  </si>
  <si>
    <t>Dias Plant a 900 cajas</t>
  </si>
  <si>
    <t>Cajas acum antes de 900 cajas</t>
  </si>
  <si>
    <t>Temp 25-26</t>
  </si>
  <si>
    <t>Temp 24-25</t>
  </si>
  <si>
    <t>Temp 23-24</t>
  </si>
  <si>
    <t>Temp 22-23</t>
  </si>
  <si>
    <t>Temp 21-22</t>
  </si>
  <si>
    <t>Temp 20-21</t>
  </si>
  <si>
    <t>Costo</t>
  </si>
  <si>
    <t>Actual</t>
  </si>
  <si>
    <t>2E 2025</t>
  </si>
  <si>
    <t>2E 2024</t>
  </si>
  <si>
    <t>2E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</si>
</sst>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[$-80A]dddd\ d&quot; de &quot;mmmm&quot; de &quot;yyyy;@"/>
    <numFmt numFmtId="167" formatCode="0.0"/>
    <numFmt numFmtId="168" formatCode="[$-1540A]dd\-mmm\-yy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dott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tted">
        <color indexed="64"/>
      </right>
      <top/>
      <bottom style="double">
        <color indexed="64"/>
      </bottom>
      <diagonal/>
    </border>
    <border>
      <left/>
      <right/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4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/>
    <xf numFmtId="0" fontId="6" fillId="0" borderId="0" xfId="0" applyFont="1"/>
    <xf numFmtId="164" fontId="0" fillId="0" borderId="0" xfId="0" applyNumberFormat="1"/>
    <xf numFmtId="0" fontId="7" fillId="0" borderId="0" xfId="0" applyFont="1" applyAlignment="1">
      <alignment horizontal="right"/>
    </xf>
    <xf numFmtId="0" fontId="6" fillId="2" borderId="0" xfId="0" applyFont="1" applyFill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right"/>
    </xf>
    <xf numFmtId="164" fontId="5" fillId="0" borderId="0" xfId="1" applyNumberFormat="1" applyFont="1" applyFill="1"/>
    <xf numFmtId="165" fontId="6" fillId="0" borderId="0" xfId="3" applyNumberFormat="1" applyFont="1" applyFill="1"/>
    <xf numFmtId="0" fontId="2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164" fontId="5" fillId="0" borderId="0" xfId="1" applyNumberFormat="1" applyFont="1" applyFill="1" applyBorder="1"/>
    <xf numFmtId="9" fontId="6" fillId="0" borderId="0" xfId="3" applyFont="1" applyFill="1"/>
    <xf numFmtId="167" fontId="5" fillId="0" borderId="0" xfId="0" applyNumberFormat="1" applyFont="1"/>
    <xf numFmtId="9" fontId="10" fillId="0" borderId="0" xfId="3" applyFont="1" applyFill="1"/>
    <xf numFmtId="0" fontId="10" fillId="0" borderId="0" xfId="0" applyFont="1"/>
    <xf numFmtId="0" fontId="11" fillId="3" borderId="0" xfId="0" applyFont="1" applyFill="1"/>
    <xf numFmtId="44" fontId="12" fillId="4" borderId="0" xfId="2" applyFont="1" applyFill="1"/>
    <xf numFmtId="164" fontId="13" fillId="0" borderId="0" xfId="0" applyNumberFormat="1" applyFont="1"/>
    <xf numFmtId="0" fontId="14" fillId="0" borderId="0" xfId="0" applyFont="1"/>
    <xf numFmtId="0" fontId="7" fillId="0" borderId="3" xfId="0" applyFont="1" applyBorder="1" applyAlignment="1">
      <alignment horizontal="center"/>
    </xf>
    <xf numFmtId="0" fontId="4" fillId="0" borderId="3" xfId="0" applyFont="1" applyBorder="1"/>
    <xf numFmtId="0" fontId="4" fillId="0" borderId="7" xfId="0" applyFont="1" applyBorder="1"/>
    <xf numFmtId="164" fontId="4" fillId="0" borderId="0" xfId="0" applyNumberFormat="1" applyFont="1"/>
    <xf numFmtId="0" fontId="7" fillId="4" borderId="10" xfId="0" applyFont="1" applyFill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4" fillId="0" borderId="11" xfId="0" applyFont="1" applyBorder="1"/>
    <xf numFmtId="0" fontId="4" fillId="0" borderId="12" xfId="0" applyFont="1" applyBorder="1"/>
    <xf numFmtId="0" fontId="4" fillId="0" borderId="10" xfId="0" applyFont="1" applyBorder="1"/>
    <xf numFmtId="0" fontId="4" fillId="0" borderId="13" xfId="0" applyFont="1" applyBorder="1"/>
    <xf numFmtId="0" fontId="4" fillId="0" borderId="0" xfId="0" applyFont="1" applyAlignment="1">
      <alignment horizontal="right"/>
    </xf>
    <xf numFmtId="9" fontId="6" fillId="0" borderId="0" xfId="3" applyFont="1" applyFill="1" applyBorder="1"/>
    <xf numFmtId="164" fontId="5" fillId="0" borderId="0" xfId="1" applyNumberFormat="1" applyFont="1" applyFill="1" applyAlignment="1">
      <alignment horizontal="center"/>
    </xf>
    <xf numFmtId="164" fontId="5" fillId="0" borderId="0" xfId="1" applyNumberFormat="1" applyFont="1" applyFill="1" applyAlignment="1">
      <alignment horizontal="left"/>
    </xf>
    <xf numFmtId="0" fontId="9" fillId="2" borderId="0" xfId="0" applyFont="1" applyFill="1"/>
    <xf numFmtId="0" fontId="16" fillId="0" borderId="0" xfId="0" applyFont="1"/>
    <xf numFmtId="0" fontId="12" fillId="2" borderId="0" xfId="0" applyFont="1" applyFill="1" applyAlignment="1">
      <alignment horizontal="left"/>
    </xf>
    <xf numFmtId="0" fontId="12" fillId="0" borderId="0" xfId="0" applyFont="1"/>
    <xf numFmtId="0" fontId="7" fillId="0" borderId="0" xfId="0" applyFont="1"/>
    <xf numFmtId="0" fontId="12" fillId="2" borderId="0" xfId="0" applyFont="1" applyFill="1"/>
    <xf numFmtId="9" fontId="6" fillId="2" borderId="0" xfId="3" applyFont="1" applyFill="1" applyAlignment="1">
      <alignment horizontal="left"/>
    </xf>
    <xf numFmtId="0" fontId="12" fillId="2" borderId="0" xfId="0" applyFont="1" applyFill="1" applyAlignment="1">
      <alignment horizontal="right"/>
    </xf>
    <xf numFmtId="0" fontId="17" fillId="0" borderId="16" xfId="0" applyFont="1" applyBorder="1"/>
    <xf numFmtId="164" fontId="17" fillId="0" borderId="17" xfId="1" applyNumberFormat="1" applyFont="1" applyBorder="1"/>
    <xf numFmtId="9" fontId="18" fillId="2" borderId="17" xfId="3" applyFont="1" applyFill="1" applyBorder="1"/>
    <xf numFmtId="164" fontId="18" fillId="4" borderId="17" xfId="1" applyNumberFormat="1" applyFont="1" applyFill="1" applyBorder="1"/>
    <xf numFmtId="164" fontId="18" fillId="0" borderId="18" xfId="1" applyNumberFormat="1" applyFont="1" applyFill="1" applyBorder="1"/>
    <xf numFmtId="164" fontId="17" fillId="0" borderId="16" xfId="1" applyNumberFormat="1" applyFont="1" applyBorder="1"/>
    <xf numFmtId="164" fontId="17" fillId="2" borderId="19" xfId="1" applyNumberFormat="1" applyFont="1" applyFill="1" applyBorder="1"/>
    <xf numFmtId="167" fontId="17" fillId="2" borderId="17" xfId="0" applyNumberFormat="1" applyFont="1" applyFill="1" applyBorder="1"/>
    <xf numFmtId="44" fontId="5" fillId="0" borderId="0" xfId="2" applyFont="1"/>
    <xf numFmtId="44" fontId="5" fillId="0" borderId="20" xfId="2" applyFont="1" applyBorder="1"/>
    <xf numFmtId="0" fontId="10" fillId="0" borderId="0" xfId="0" applyFont="1" applyAlignment="1">
      <alignment horizontal="left"/>
    </xf>
    <xf numFmtId="164" fontId="13" fillId="0" borderId="0" xfId="1" applyNumberFormat="1" applyFont="1"/>
    <xf numFmtId="0" fontId="5" fillId="2" borderId="0" xfId="0" applyFont="1" applyFill="1"/>
    <xf numFmtId="0" fontId="12" fillId="0" borderId="0" xfId="0" applyFont="1" applyAlignment="1">
      <alignment horizontal="right"/>
    </xf>
    <xf numFmtId="1" fontId="17" fillId="2" borderId="16" xfId="0" applyNumberFormat="1" applyFont="1" applyFill="1" applyBorder="1"/>
    <xf numFmtId="164" fontId="18" fillId="2" borderId="17" xfId="1" applyNumberFormat="1" applyFont="1" applyFill="1" applyBorder="1"/>
    <xf numFmtId="9" fontId="17" fillId="2" borderId="17" xfId="3" applyFont="1" applyFill="1" applyBorder="1"/>
    <xf numFmtId="0" fontId="0" fillId="0" borderId="21" xfId="0" applyBorder="1"/>
    <xf numFmtId="0" fontId="13" fillId="2" borderId="21" xfId="0" applyFont="1" applyFill="1" applyBorder="1"/>
    <xf numFmtId="0" fontId="17" fillId="0" borderId="22" xfId="0" applyFont="1" applyBorder="1"/>
    <xf numFmtId="164" fontId="17" fillId="0" borderId="23" xfId="1" applyNumberFormat="1" applyFont="1" applyBorder="1"/>
    <xf numFmtId="164" fontId="17" fillId="0" borderId="22" xfId="1" applyNumberFormat="1" applyFont="1" applyBorder="1"/>
    <xf numFmtId="44" fontId="13" fillId="0" borderId="23" xfId="2" applyFont="1" applyBorder="1"/>
    <xf numFmtId="44" fontId="13" fillId="0" borderId="24" xfId="2" applyFont="1" applyBorder="1"/>
    <xf numFmtId="164" fontId="10" fillId="0" borderId="0" xfId="0" applyNumberFormat="1" applyFont="1"/>
    <xf numFmtId="1" fontId="17" fillId="2" borderId="22" xfId="0" applyNumberFormat="1" applyFont="1" applyFill="1" applyBorder="1"/>
    <xf numFmtId="0" fontId="0" fillId="0" borderId="25" xfId="0" applyBorder="1"/>
    <xf numFmtId="0" fontId="13" fillId="2" borderId="25" xfId="0" applyFont="1" applyFill="1" applyBorder="1"/>
    <xf numFmtId="164" fontId="15" fillId="0" borderId="0" xfId="1" applyNumberFormat="1" applyFont="1" applyFill="1" applyBorder="1"/>
    <xf numFmtId="0" fontId="13" fillId="0" borderId="0" xfId="0" applyFont="1"/>
    <xf numFmtId="164" fontId="18" fillId="2" borderId="23" xfId="1" applyNumberFormat="1" applyFont="1" applyFill="1" applyBorder="1"/>
    <xf numFmtId="0" fontId="13" fillId="2" borderId="0" xfId="0" applyFont="1" applyFill="1"/>
    <xf numFmtId="0" fontId="12" fillId="2" borderId="26" xfId="0" applyFont="1" applyFill="1" applyBorder="1" applyAlignment="1">
      <alignment horizontal="right"/>
    </xf>
    <xf numFmtId="0" fontId="17" fillId="0" borderId="27" xfId="0" applyFont="1" applyBorder="1"/>
    <xf numFmtId="164" fontId="17" fillId="0" borderId="26" xfId="1" applyNumberFormat="1" applyFont="1" applyBorder="1"/>
    <xf numFmtId="9" fontId="18" fillId="2" borderId="26" xfId="3" applyFont="1" applyFill="1" applyBorder="1"/>
    <xf numFmtId="164" fontId="18" fillId="4" borderId="26" xfId="1" applyNumberFormat="1" applyFont="1" applyFill="1" applyBorder="1"/>
    <xf numFmtId="164" fontId="18" fillId="0" borderId="28" xfId="1" applyNumberFormat="1" applyFont="1" applyFill="1" applyBorder="1"/>
    <xf numFmtId="164" fontId="17" fillId="0" borderId="27" xfId="1" applyNumberFormat="1" applyFont="1" applyBorder="1"/>
    <xf numFmtId="164" fontId="17" fillId="2" borderId="29" xfId="1" applyNumberFormat="1" applyFont="1" applyFill="1" applyBorder="1"/>
    <xf numFmtId="167" fontId="17" fillId="2" borderId="26" xfId="0" applyNumberFormat="1" applyFont="1" applyFill="1" applyBorder="1"/>
    <xf numFmtId="44" fontId="13" fillId="0" borderId="26" xfId="2" applyFont="1" applyBorder="1"/>
    <xf numFmtId="44" fontId="13" fillId="0" borderId="30" xfId="2" applyFont="1" applyBorder="1"/>
    <xf numFmtId="0" fontId="12" fillId="0" borderId="26" xfId="0" applyFont="1" applyBorder="1" applyAlignment="1">
      <alignment horizontal="right"/>
    </xf>
    <xf numFmtId="1" fontId="17" fillId="2" borderId="27" xfId="0" applyNumberFormat="1" applyFont="1" applyFill="1" applyBorder="1"/>
    <xf numFmtId="164" fontId="18" fillId="2" borderId="26" xfId="1" applyNumberFormat="1" applyFont="1" applyFill="1" applyBorder="1"/>
    <xf numFmtId="9" fontId="17" fillId="2" borderId="26" xfId="3" applyFont="1" applyFill="1" applyBorder="1"/>
    <xf numFmtId="0" fontId="0" fillId="0" borderId="31" xfId="0" applyBorder="1"/>
    <xf numFmtId="0" fontId="13" fillId="2" borderId="26" xfId="0" applyFont="1" applyFill="1" applyBorder="1"/>
    <xf numFmtId="164" fontId="2" fillId="2" borderId="0" xfId="1" applyNumberFormat="1" applyFont="1" applyFill="1"/>
    <xf numFmtId="9" fontId="9" fillId="2" borderId="0" xfId="3" applyFont="1" applyFill="1"/>
    <xf numFmtId="164" fontId="9" fillId="4" borderId="0" xfId="1" applyNumberFormat="1" applyFont="1" applyFill="1"/>
    <xf numFmtId="164" fontId="12" fillId="2" borderId="0" xfId="1" applyNumberFormat="1" applyFont="1" applyFill="1"/>
    <xf numFmtId="164" fontId="2" fillId="2" borderId="0" xfId="1" applyNumberFormat="1" applyFont="1" applyFill="1" applyBorder="1"/>
    <xf numFmtId="167" fontId="12" fillId="2" borderId="0" xfId="0" applyNumberFormat="1" applyFont="1" applyFill="1"/>
    <xf numFmtId="44" fontId="15" fillId="0" borderId="0" xfId="2" applyFont="1"/>
    <xf numFmtId="44" fontId="4" fillId="0" borderId="0" xfId="2" applyFont="1"/>
    <xf numFmtId="1" fontId="0" fillId="0" borderId="0" xfId="0" applyNumberFormat="1"/>
    <xf numFmtId="164" fontId="9" fillId="2" borderId="0" xfId="3" applyNumberFormat="1" applyFont="1" applyFill="1"/>
    <xf numFmtId="9" fontId="12" fillId="2" borderId="0" xfId="3" applyFont="1" applyFill="1"/>
    <xf numFmtId="164" fontId="16" fillId="2" borderId="0" xfId="0" applyNumberFormat="1" applyFont="1" applyFill="1"/>
    <xf numFmtId="164" fontId="7" fillId="2" borderId="0" xfId="1" applyNumberFormat="1" applyFont="1" applyFill="1"/>
    <xf numFmtId="164" fontId="0" fillId="0" borderId="0" xfId="1" applyNumberFormat="1" applyFont="1"/>
    <xf numFmtId="167" fontId="0" fillId="0" borderId="0" xfId="0" applyNumberFormat="1"/>
    <xf numFmtId="0" fontId="17" fillId="0" borderId="27" xfId="1" applyNumberFormat="1" applyFont="1" applyBorder="1"/>
    <xf numFmtId="164" fontId="13" fillId="0" borderId="0" xfId="1" applyNumberFormat="1" applyFont="1" applyFill="1"/>
    <xf numFmtId="164" fontId="9" fillId="0" borderId="0" xfId="3" applyNumberFormat="1" applyFont="1" applyFill="1"/>
    <xf numFmtId="9" fontId="12" fillId="0" borderId="0" xfId="3" applyFont="1" applyFill="1"/>
    <xf numFmtId="164" fontId="16" fillId="0" borderId="0" xfId="0" applyNumberFormat="1" applyFont="1"/>
    <xf numFmtId="164" fontId="7" fillId="0" borderId="0" xfId="1" applyNumberFormat="1" applyFont="1" applyFill="1"/>
    <xf numFmtId="2" fontId="17" fillId="2" borderId="17" xfId="0" applyNumberFormat="1" applyFont="1" applyFill="1" applyBorder="1"/>
    <xf numFmtId="2" fontId="17" fillId="2" borderId="26" xfId="0" applyNumberFormat="1" applyFont="1" applyFill="1" applyBorder="1"/>
    <xf numFmtId="2" fontId="12" fillId="2" borderId="0" xfId="0" applyNumberFormat="1" applyFont="1" applyFill="1"/>
    <xf numFmtId="0" fontId="17" fillId="0" borderId="0" xfId="0" applyFont="1"/>
    <xf numFmtId="164" fontId="2" fillId="4" borderId="0" xfId="1" applyNumberFormat="1" applyFont="1" applyFill="1"/>
    <xf numFmtId="164" fontId="2" fillId="2" borderId="0" xfId="0" applyNumberFormat="1" applyFont="1" applyFill="1"/>
    <xf numFmtId="44" fontId="9" fillId="3" borderId="0" xfId="0" applyNumberFormat="1" applyFont="1" applyFill="1"/>
    <xf numFmtId="164" fontId="12" fillId="2" borderId="0" xfId="0" applyNumberFormat="1" applyFont="1" applyFill="1"/>
    <xf numFmtId="43" fontId="2" fillId="0" borderId="0" xfId="1" applyFont="1" applyFill="1"/>
    <xf numFmtId="9" fontId="7" fillId="2" borderId="0" xfId="3" applyFont="1" applyFill="1" applyAlignment="1">
      <alignment horizontal="left"/>
    </xf>
    <xf numFmtId="164" fontId="7" fillId="2" borderId="0" xfId="0" applyNumberFormat="1" applyFont="1" applyFill="1"/>
    <xf numFmtId="43" fontId="15" fillId="2" borderId="0" xfId="0" applyNumberFormat="1" applyFont="1" applyFill="1"/>
    <xf numFmtId="0" fontId="8" fillId="0" borderId="0" xfId="0" applyFont="1" applyAlignment="1">
      <alignment horizontal="right"/>
    </xf>
    <xf numFmtId="164" fontId="8" fillId="2" borderId="0" xfId="1" applyNumberFormat="1" applyFont="1" applyFill="1" applyAlignment="1">
      <alignment horizontal="left"/>
    </xf>
    <xf numFmtId="43" fontId="0" fillId="0" borderId="0" xfId="0" applyNumberFormat="1"/>
    <xf numFmtId="0" fontId="4" fillId="0" borderId="0" xfId="0" applyFont="1" applyAlignment="1">
      <alignment horizontal="center"/>
    </xf>
    <xf numFmtId="0" fontId="19" fillId="0" borderId="0" xfId="0" applyFont="1" applyAlignment="1">
      <alignment horizontal="right"/>
    </xf>
    <xf numFmtId="9" fontId="19" fillId="2" borderId="0" xfId="3" applyFont="1" applyFill="1"/>
    <xf numFmtId="164" fontId="5" fillId="2" borderId="0" xfId="1" applyNumberFormat="1" applyFont="1" applyFill="1"/>
    <xf numFmtId="9" fontId="6" fillId="2" borderId="0" xfId="3" applyFont="1" applyFill="1"/>
    <xf numFmtId="9" fontId="19" fillId="3" borderId="0" xfId="3" applyFont="1" applyFill="1"/>
    <xf numFmtId="0" fontId="5" fillId="2" borderId="32" xfId="0" applyFont="1" applyFill="1" applyBorder="1"/>
    <xf numFmtId="164" fontId="5" fillId="2" borderId="32" xfId="1" applyNumberFormat="1" applyFont="1" applyFill="1" applyBorder="1"/>
    <xf numFmtId="9" fontId="7" fillId="2" borderId="0" xfId="3" applyFont="1" applyFill="1"/>
    <xf numFmtId="9" fontId="6" fillId="3" borderId="0" xfId="3" applyFont="1" applyFill="1"/>
    <xf numFmtId="0" fontId="6" fillId="3" borderId="0" xfId="0" applyFont="1" applyFill="1"/>
    <xf numFmtId="167" fontId="5" fillId="2" borderId="32" xfId="0" applyNumberFormat="1" applyFont="1" applyFill="1" applyBorder="1"/>
    <xf numFmtId="0" fontId="20" fillId="0" borderId="0" xfId="0" applyFont="1"/>
    <xf numFmtId="164" fontId="20" fillId="2" borderId="0" xfId="1" applyNumberFormat="1" applyFont="1" applyFill="1"/>
    <xf numFmtId="164" fontId="13" fillId="2" borderId="0" xfId="0" applyNumberFormat="1" applyFont="1" applyFill="1"/>
    <xf numFmtId="164" fontId="4" fillId="2" borderId="32" xfId="0" applyNumberFormat="1" applyFont="1" applyFill="1" applyBorder="1"/>
    <xf numFmtId="0" fontId="5" fillId="2" borderId="0" xfId="0" applyFont="1" applyFill="1" applyAlignment="1">
      <alignment horizontal="center"/>
    </xf>
    <xf numFmtId="164" fontId="5" fillId="2" borderId="0" xfId="1" applyNumberFormat="1" applyFont="1" applyFill="1" applyAlignment="1">
      <alignment horizontal="center"/>
    </xf>
    <xf numFmtId="0" fontId="3" fillId="3" borderId="0" xfId="0" applyFont="1" applyFill="1"/>
    <xf numFmtId="0" fontId="3" fillId="0" borderId="0" xfId="0" applyFont="1"/>
    <xf numFmtId="9" fontId="7" fillId="0" borderId="0" xfId="3" applyFont="1" applyFill="1"/>
    <xf numFmtId="0" fontId="20" fillId="0" borderId="0" xfId="0" applyFont="1" applyAlignment="1">
      <alignment horizontal="right"/>
    </xf>
    <xf numFmtId="164" fontId="21" fillId="0" borderId="0" xfId="1" applyNumberFormat="1" applyFont="1" applyFill="1"/>
    <xf numFmtId="164" fontId="19" fillId="6" borderId="0" xfId="1" applyNumberFormat="1" applyFont="1" applyFill="1"/>
    <xf numFmtId="9" fontId="21" fillId="0" borderId="0" xfId="3" applyFont="1" applyFill="1"/>
    <xf numFmtId="0" fontId="4" fillId="7" borderId="0" xfId="0" applyFont="1" applyFill="1"/>
    <xf numFmtId="0" fontId="2" fillId="7" borderId="0" xfId="0" applyFont="1" applyFill="1"/>
    <xf numFmtId="0" fontId="9" fillId="2" borderId="0" xfId="0" applyFont="1" applyFill="1" applyAlignment="1">
      <alignment horizontal="center"/>
    </xf>
    <xf numFmtId="0" fontId="2" fillId="8" borderId="0" xfId="0" applyFont="1" applyFill="1" applyAlignment="1">
      <alignment horizontal="right"/>
    </xf>
    <xf numFmtId="164" fontId="6" fillId="8" borderId="0" xfId="1" applyNumberFormat="1" applyFont="1" applyFill="1"/>
    <xf numFmtId="9" fontId="6" fillId="0" borderId="0" xfId="3" applyFont="1" applyAlignment="1"/>
    <xf numFmtId="0" fontId="22" fillId="0" borderId="0" xfId="0" applyFont="1"/>
    <xf numFmtId="168" fontId="13" fillId="2" borderId="0" xfId="0" applyNumberFormat="1" applyFont="1" applyFill="1"/>
    <xf numFmtId="0" fontId="9" fillId="0" borderId="0" xfId="0" applyFont="1"/>
    <xf numFmtId="0" fontId="7" fillId="5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7" fillId="0" borderId="0" xfId="0" applyFont="1" applyAlignment="1">
      <alignment horizontal="center" wrapText="1"/>
    </xf>
    <xf numFmtId="16" fontId="6" fillId="0" borderId="32" xfId="0" applyNumberFormat="1" applyFont="1" applyBorder="1"/>
    <xf numFmtId="0" fontId="6" fillId="0" borderId="32" xfId="0" applyFont="1" applyBorder="1" applyAlignment="1">
      <alignment horizontal="center"/>
    </xf>
    <xf numFmtId="164" fontId="6" fillId="0" borderId="32" xfId="1" applyNumberFormat="1" applyFont="1" applyBorder="1" applyAlignment="1">
      <alignment horizontal="center"/>
    </xf>
    <xf numFmtId="1" fontId="12" fillId="0" borderId="0" xfId="0" applyNumberFormat="1" applyFont="1"/>
    <xf numFmtId="1" fontId="17" fillId="0" borderId="16" xfId="0" applyNumberFormat="1" applyFont="1" applyBorder="1"/>
    <xf numFmtId="1" fontId="17" fillId="0" borderId="22" xfId="0" applyNumberFormat="1" applyFont="1" applyBorder="1"/>
    <xf numFmtId="1" fontId="17" fillId="0" borderId="27" xfId="0" applyNumberFormat="1" applyFont="1" applyBorder="1"/>
    <xf numFmtId="44" fontId="12" fillId="5" borderId="0" xfId="2" applyFont="1" applyFill="1"/>
    <xf numFmtId="0" fontId="18" fillId="0" borderId="0" xfId="0" applyFont="1" applyAlignment="1">
      <alignment horizontal="right"/>
    </xf>
    <xf numFmtId="0" fontId="18" fillId="2" borderId="0" xfId="0" applyFont="1" applyFill="1" applyAlignment="1">
      <alignment horizontal="left"/>
    </xf>
    <xf numFmtId="43" fontId="10" fillId="2" borderId="0" xfId="3" applyNumberFormat="1" applyFont="1" applyFill="1"/>
    <xf numFmtId="164" fontId="6" fillId="0" borderId="0" xfId="1" applyNumberFormat="1" applyFont="1" applyFill="1"/>
    <xf numFmtId="9" fontId="6" fillId="0" borderId="0" xfId="3" applyFont="1" applyFill="1" applyAlignment="1">
      <alignment horizontal="left"/>
    </xf>
    <xf numFmtId="14" fontId="0" fillId="0" borderId="0" xfId="0" applyNumberFormat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66" fontId="9" fillId="0" borderId="1" xfId="0" applyNumberFormat="1" applyFont="1" applyBorder="1" applyAlignment="1">
      <alignment horizontal="left"/>
    </xf>
    <xf numFmtId="0" fontId="12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3" xfId="0" applyFont="1" applyBorder="1" applyAlignment="1">
      <alignment horizontal="center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1"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117</xdr:row>
      <xdr:rowOff>0</xdr:rowOff>
    </xdr:from>
    <xdr:to>
      <xdr:col>14</xdr:col>
      <xdr:colOff>149986</xdr:colOff>
      <xdr:row>143</xdr:row>
      <xdr:rowOff>30480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806DCE3-84D8-43DA-986A-B52935C56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4782800"/>
          <a:ext cx="9309225" cy="4785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Personal%20GBE/H2E/BCS/Pendientes%20Jorge/Liquidaciones%20Crown%201E%2025-26.xlsx" TargetMode="External"/><Relationship Id="rId2" Type="http://schemas.openxmlformats.org/officeDocument/2006/relationships/externalLinkPath" Target="https://d.docs.live.net/f087611319785eae/Personal%20GBE/H2E/BCS/Pendientes%20Jorge/Liquidaciones%20Crown%201E%2025-26.xlsx" TargetMode="External"/><Relationship Id="rId1" Type="http://schemas.openxmlformats.org/officeDocument/2006/relationships/externalLinkPath" Target="/f087611319785eae/Personal%20GBE/H2E/BCS/Pendientes%20Jorge/Liquidaciones%20Crown%201E%2025-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Personal%20GBE/H2E/BCS/Empaque/Formato%20de%20Empaque%202E%2025-26%20(Saladette).xlsm" TargetMode="External"/><Relationship Id="rId2" Type="http://schemas.openxmlformats.org/officeDocument/2006/relationships/externalLinkPath" Target="https://d.docs.live.net/f087611319785eae/Personal%20GBE/H2E/BCS/Empaque/Formato%20de%20Empaque%202E%2025-26%20(Saladette).xlsm" TargetMode="External"/><Relationship Id="rId1" Type="http://schemas.openxmlformats.org/officeDocument/2006/relationships/externalLinkPath" Target="/f087611319785eae/Personal%20GBE/H2E/BCS/Empaque/Formato%20de%20Empaque%202E%2025-26%20(Saladette).xlsm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Personal%20GBE/H2E/BCS/Empaque/Formato%20de%20Empaque%202E%202025.xlsm" TargetMode="External"/><Relationship Id="rId2" Type="http://schemas.openxmlformats.org/officeDocument/2006/relationships/externalLinkPath" Target="https://d.docs.live.net/f087611319785eae/Personal%20GBE/H2E/BCS/Empaque/Formato%20de%20Empaque%202E%202025.xlsm" TargetMode="External"/><Relationship Id="rId1" Type="http://schemas.openxmlformats.org/officeDocument/2006/relationships/externalLinkPath" Target="/f087611319785eae/Personal%20GBE/H2E/BCS/Empaque/Formato%20de%20Empaque%202E%202025.xlsm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Personal%20GBE/H2E/BCS/Empaque/Formato%20de%20Empaque%202E%202024.xlsm" TargetMode="External"/><Relationship Id="rId2" Type="http://schemas.openxmlformats.org/officeDocument/2006/relationships/externalLinkPath" Target="https://d.docs.live.net/f087611319785eae/Personal%20GBE/H2E/BCS/Empaque/Formato%20de%20Empaque%202E%202024.xlsm" TargetMode="External"/><Relationship Id="rId1" Type="http://schemas.openxmlformats.org/officeDocument/2006/relationships/externalLinkPath" Target="/f087611319785eae/Personal%20GBE/H2E/BCS/Empaque/Formato%20de%20Empaque%202E%202024.xlsm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Personal%20GBE/H2E/BCS/Empaque/Formato%20de%20Empaque%202E%2022-23.xlsx" TargetMode="External"/><Relationship Id="rId2" Type="http://schemas.openxmlformats.org/officeDocument/2006/relationships/externalLinkPath" Target="https://d.docs.live.net/f087611319785eae/Personal%20GBE/H2E/BCS/Empaque/Formato%20de%20Empaque%202E%2022-23.xlsx" TargetMode="External"/><Relationship Id="rId1" Type="http://schemas.openxmlformats.org/officeDocument/2006/relationships/externalLinkPath" Target="/f087611319785eae/Personal%20GBE/H2E/BCS/Empaque/Formato%20de%20Empaque%202E%2022-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F087611319785EAE" itemId="F087611319785EAE!s7c1e8e829e4c4ea1bb203222ae643022">
      <xxl21:absoluteUrl r:id="rId2"/>
      <xxl21:relativeUrl r:id="rId3"/>
    </xxl21:alternateUrls>
    <sheetNames>
      <sheetName val="Liq"/>
      <sheetName val="Liq-P&amp;P"/>
      <sheetName val="Listado"/>
      <sheetName val="Prom x Semana"/>
      <sheetName val="Transacciones"/>
      <sheetName val="Ing - Egr Pend"/>
      <sheetName val="Reporte Semanal"/>
      <sheetName val="VENTAS"/>
      <sheetName val="Retorno x Cliente Nac"/>
      <sheetName val="Hoja1"/>
      <sheetName val="Pending 2 Inv (26-1)"/>
      <sheetName val="GWR Transactions"/>
      <sheetName val="Listado (2)"/>
    </sheetNames>
    <sheetDataSet>
      <sheetData sheetId="0"/>
      <sheetData sheetId="1"/>
      <sheetData sheetId="2"/>
      <sheetData sheetId="3"/>
      <sheetData sheetId="4"/>
      <sheetData sheetId="5"/>
      <sheetData sheetId="6">
        <row r="74">
          <cell r="C74">
            <v>2.4123999999999999</v>
          </cell>
        </row>
        <row r="75">
          <cell r="C75">
            <v>0.1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mpaque (1)"/>
      <sheetName val="Empaque (2)"/>
      <sheetName val="Empaque (3)"/>
      <sheetName val="Empaque (4)"/>
      <sheetName val="Empaque (5)"/>
      <sheetName val="Empaque (6)"/>
      <sheetName val="Empaque (7)"/>
      <sheetName val="Empaque (8)"/>
      <sheetName val="Empaque (9)"/>
      <sheetName val="Empaque (10)"/>
      <sheetName val="Empaque (11)"/>
      <sheetName val="Empaque (12)"/>
      <sheetName val="Empaque (13)"/>
      <sheetName val="Empaque (14)"/>
      <sheetName val="Empaque (15)"/>
      <sheetName val="Empaque (16)"/>
      <sheetName val="Corte"/>
      <sheetName val="p PDF"/>
      <sheetName val="Empaque (17)"/>
      <sheetName val="Empaque (18)"/>
      <sheetName val="Empaque (19)"/>
      <sheetName val="Empaque (20)"/>
      <sheetName val="Empaque (21)"/>
      <sheetName val="Empaque (22)"/>
      <sheetName val="Empaque (23)"/>
      <sheetName val="Empaque (24)"/>
      <sheetName val="Empaque (25)"/>
      <sheetName val="Empaque (26)"/>
      <sheetName val="Empaque (30)"/>
      <sheetName val="Empaque (27)"/>
      <sheetName val="Empaque (28)"/>
      <sheetName val="Empaque (29)"/>
      <sheetName val="Empaque (31)"/>
      <sheetName val="Empaque (32)"/>
      <sheetName val="Empaque (33)"/>
      <sheetName val="Empaque (34)"/>
      <sheetName val="Empaque (36)"/>
      <sheetName val="Empaque (37)"/>
      <sheetName val="Empaque (35)"/>
      <sheetName val="Empaque (38)"/>
      <sheetName val="Empaque (41)"/>
      <sheetName val="Empaque (39)"/>
      <sheetName val="Empaque (40)"/>
      <sheetName val="Empaque (42)"/>
      <sheetName val="Empaque (43)"/>
      <sheetName val="Empaque (44)"/>
      <sheetName val="Empaque (45)"/>
      <sheetName val="Empaque (46)"/>
      <sheetName val="Empaque (47)"/>
      <sheetName val="Empaque (48)"/>
      <sheetName val="Empaque (49)"/>
      <sheetName val="Empaque (50)"/>
      <sheetName val="Empaque (51)"/>
      <sheetName val="Empaque (52)"/>
      <sheetName val="Empaque (53)"/>
      <sheetName val="Empaque (54)"/>
      <sheetName val="Empaque (55)"/>
      <sheetName val="Empaque (56)"/>
      <sheetName val="Empaque (57)"/>
      <sheetName val="Empaque (58)"/>
      <sheetName val="Empaque (59)"/>
      <sheetName val="Empaque (60)"/>
      <sheetName val="Empaque (61)"/>
      <sheetName val="Empaque (62)"/>
      <sheetName val="Empaque (63)"/>
      <sheetName val="Empaque (64)"/>
      <sheetName val="Empaque (65)"/>
      <sheetName val="Empaque (66)"/>
      <sheetName val="Empaque (67)"/>
      <sheetName val="Empaque (68)"/>
      <sheetName val="Empaque (69)"/>
      <sheetName val="Empaque (70)"/>
      <sheetName val="Empaque (71)"/>
      <sheetName val="Empaque (72)"/>
      <sheetName val="Empaque (73)"/>
      <sheetName val="Empaque (74)"/>
      <sheetName val="Empaque (75)"/>
      <sheetName val="Empaque (76)"/>
      <sheetName val="Empaque (77)"/>
      <sheetName val="Empaque (78)"/>
      <sheetName val="Empaque (79)"/>
      <sheetName val="Empaque (80)"/>
      <sheetName val="Totales"/>
      <sheetName val="Tamaños"/>
      <sheetName val="Cajas x Semana"/>
      <sheetName val="Recuperacion"/>
      <sheetName val="Listado"/>
      <sheetName val="Corte x Var"/>
      <sheetName val="Gráfica Producción"/>
      <sheetName val="Costo Maq "/>
      <sheetName val="Lista Maq"/>
      <sheetName val="Cajas Acum x Fecha"/>
      <sheetName val="Precios Maquila"/>
      <sheetName val="Conteos Tamañ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K2">
            <v>10</v>
          </cell>
          <cell r="R2">
            <v>3587.5</v>
          </cell>
          <cell r="S2">
            <v>0.91535370287682605</v>
          </cell>
          <cell r="T2" t="str">
            <v>% emp kg</v>
          </cell>
        </row>
        <row r="3">
          <cell r="N3">
            <v>0</v>
          </cell>
          <cell r="O3">
            <v>0</v>
          </cell>
          <cell r="R3">
            <v>0.93728222996515675</v>
          </cell>
          <cell r="S3">
            <v>0.86759581881533099</v>
          </cell>
          <cell r="T3" t="str">
            <v>Jb, XL</v>
          </cell>
        </row>
        <row r="4">
          <cell r="H4">
            <v>46155</v>
          </cell>
          <cell r="N4">
            <v>10.166666666666666</v>
          </cell>
          <cell r="O4">
            <v>3919.2499999999995</v>
          </cell>
          <cell r="R4">
            <v>0.94098360655737701</v>
          </cell>
          <cell r="S4" t="str">
            <v>cajas x cubeta</v>
          </cell>
        </row>
        <row r="5">
          <cell r="N5">
            <v>0</v>
          </cell>
          <cell r="O5">
            <v>0</v>
          </cell>
          <cell r="R5">
            <v>28.229508196721312</v>
          </cell>
          <cell r="S5" t="str">
            <v>Cajas x bin</v>
          </cell>
        </row>
        <row r="6">
          <cell r="O6">
            <v>3919.2499999999995</v>
          </cell>
          <cell r="R6" t="str">
            <v>Por pasar y reproc</v>
          </cell>
        </row>
        <row r="7">
          <cell r="O7">
            <v>0</v>
          </cell>
          <cell r="S7">
            <v>0</v>
          </cell>
        </row>
        <row r="8">
          <cell r="O8">
            <v>1</v>
          </cell>
          <cell r="S8">
            <v>0</v>
          </cell>
        </row>
        <row r="9">
          <cell r="A9" t="str">
            <v>Campo Gusto x 72</v>
          </cell>
          <cell r="B9" t="str">
            <v>lb</v>
          </cell>
          <cell r="AA9" t="str">
            <v>Campo Gusto x 72</v>
          </cell>
          <cell r="AB9" t="str">
            <v>lb</v>
          </cell>
        </row>
        <row r="10">
          <cell r="A10" t="str">
            <v>Jb</v>
          </cell>
          <cell r="B10">
            <v>25</v>
          </cell>
          <cell r="D10" t="str">
            <v/>
          </cell>
          <cell r="J10">
            <v>0</v>
          </cell>
          <cell r="K10">
            <v>0</v>
          </cell>
          <cell r="AA10" t="str">
            <v>Jb</v>
          </cell>
          <cell r="AB10">
            <v>25</v>
          </cell>
          <cell r="AC10">
            <v>0</v>
          </cell>
          <cell r="AD10">
            <v>0</v>
          </cell>
        </row>
        <row r="11">
          <cell r="A11" t="str">
            <v>Xl</v>
          </cell>
          <cell r="B11">
            <v>25</v>
          </cell>
          <cell r="D11" t="str">
            <v/>
          </cell>
          <cell r="J11">
            <v>0</v>
          </cell>
          <cell r="K11">
            <v>0</v>
          </cell>
          <cell r="AA11" t="str">
            <v>Xl</v>
          </cell>
          <cell r="AB11">
            <v>25</v>
          </cell>
          <cell r="AC11">
            <v>0</v>
          </cell>
          <cell r="AD11">
            <v>0</v>
          </cell>
        </row>
        <row r="12">
          <cell r="A12" t="str">
            <v>Lg</v>
          </cell>
          <cell r="B12">
            <v>25</v>
          </cell>
          <cell r="D12" t="str">
            <v/>
          </cell>
          <cell r="J12">
            <v>0</v>
          </cell>
          <cell r="K12">
            <v>0</v>
          </cell>
          <cell r="AA12" t="str">
            <v>Lg</v>
          </cell>
          <cell r="AB12">
            <v>25</v>
          </cell>
          <cell r="AC12">
            <v>0</v>
          </cell>
          <cell r="AD12">
            <v>0</v>
          </cell>
        </row>
        <row r="13">
          <cell r="A13" t="str">
            <v>Md</v>
          </cell>
          <cell r="B13">
            <v>25</v>
          </cell>
          <cell r="D13" t="str">
            <v/>
          </cell>
          <cell r="J13">
            <v>0</v>
          </cell>
          <cell r="K13">
            <v>0</v>
          </cell>
          <cell r="AA13" t="str">
            <v>Md</v>
          </cell>
          <cell r="AB13">
            <v>25</v>
          </cell>
          <cell r="AC13">
            <v>0</v>
          </cell>
          <cell r="AD13">
            <v>0</v>
          </cell>
        </row>
        <row r="14">
          <cell r="A14" t="str">
            <v>Sm</v>
          </cell>
          <cell r="B14">
            <v>25</v>
          </cell>
          <cell r="D14" t="str">
            <v/>
          </cell>
          <cell r="J14">
            <v>0</v>
          </cell>
          <cell r="K14">
            <v>0</v>
          </cell>
          <cell r="AA14" t="str">
            <v>Sm</v>
          </cell>
          <cell r="AB14">
            <v>25</v>
          </cell>
          <cell r="AC14">
            <v>0</v>
          </cell>
          <cell r="AD14">
            <v>0</v>
          </cell>
        </row>
        <row r="15">
          <cell r="A15" t="str">
            <v>Mixto</v>
          </cell>
          <cell r="B15">
            <v>25</v>
          </cell>
          <cell r="D15" t="str">
            <v/>
          </cell>
          <cell r="J15">
            <v>0</v>
          </cell>
          <cell r="K15">
            <v>0</v>
          </cell>
          <cell r="AA15" t="str">
            <v>xs</v>
          </cell>
          <cell r="AB15">
            <v>25</v>
          </cell>
          <cell r="AC15">
            <v>0</v>
          </cell>
          <cell r="AD15">
            <v>0</v>
          </cell>
        </row>
        <row r="16">
          <cell r="C16">
            <v>0</v>
          </cell>
          <cell r="D16" t="str">
            <v/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AC16">
            <v>0</v>
          </cell>
          <cell r="AD16">
            <v>0</v>
          </cell>
        </row>
        <row r="17">
          <cell r="A17" t="str">
            <v>H2E (2da) x 72</v>
          </cell>
          <cell r="B17" t="str">
            <v>lb</v>
          </cell>
          <cell r="AA17" t="str">
            <v>H2E (2da) x 72</v>
          </cell>
          <cell r="AB17" t="str">
            <v>lb</v>
          </cell>
        </row>
        <row r="18">
          <cell r="A18" t="str">
            <v>Jb</v>
          </cell>
          <cell r="B18">
            <v>25</v>
          </cell>
          <cell r="D18" t="str">
            <v/>
          </cell>
          <cell r="J18">
            <v>0</v>
          </cell>
          <cell r="K18">
            <v>0</v>
          </cell>
          <cell r="AA18" t="str">
            <v>Jb</v>
          </cell>
          <cell r="AB18">
            <v>25</v>
          </cell>
          <cell r="AC18">
            <v>0</v>
          </cell>
          <cell r="AD18">
            <v>0</v>
          </cell>
        </row>
        <row r="19">
          <cell r="A19" t="str">
            <v>Xl</v>
          </cell>
          <cell r="B19">
            <v>25</v>
          </cell>
          <cell r="D19" t="str">
            <v/>
          </cell>
          <cell r="J19">
            <v>0</v>
          </cell>
          <cell r="K19">
            <v>0</v>
          </cell>
          <cell r="AA19" t="str">
            <v>Xl</v>
          </cell>
          <cell r="AB19">
            <v>25</v>
          </cell>
          <cell r="AC19">
            <v>0</v>
          </cell>
          <cell r="AD19">
            <v>0</v>
          </cell>
        </row>
        <row r="20">
          <cell r="A20" t="str">
            <v>Lg</v>
          </cell>
          <cell r="B20">
            <v>25</v>
          </cell>
          <cell r="D20" t="str">
            <v/>
          </cell>
          <cell r="J20">
            <v>0</v>
          </cell>
          <cell r="K20">
            <v>0</v>
          </cell>
          <cell r="AA20" t="str">
            <v>Lg</v>
          </cell>
          <cell r="AB20">
            <v>25</v>
          </cell>
          <cell r="AC20">
            <v>0</v>
          </cell>
          <cell r="AD20">
            <v>0</v>
          </cell>
        </row>
        <row r="21">
          <cell r="A21" t="str">
            <v>Md</v>
          </cell>
          <cell r="B21">
            <v>25</v>
          </cell>
          <cell r="D21" t="str">
            <v/>
          </cell>
          <cell r="J21">
            <v>0</v>
          </cell>
          <cell r="K21">
            <v>0</v>
          </cell>
          <cell r="AA21" t="str">
            <v>Md</v>
          </cell>
          <cell r="AB21">
            <v>25</v>
          </cell>
          <cell r="AC21">
            <v>0</v>
          </cell>
          <cell r="AD21">
            <v>0</v>
          </cell>
        </row>
        <row r="22">
          <cell r="A22" t="str">
            <v>Sm</v>
          </cell>
          <cell r="B22">
            <v>25</v>
          </cell>
          <cell r="D22" t="str">
            <v/>
          </cell>
          <cell r="J22">
            <v>0</v>
          </cell>
          <cell r="K22">
            <v>0</v>
          </cell>
          <cell r="AA22" t="str">
            <v>Sm</v>
          </cell>
          <cell r="AB22">
            <v>25</v>
          </cell>
          <cell r="AC22">
            <v>0</v>
          </cell>
          <cell r="AD22">
            <v>0</v>
          </cell>
        </row>
        <row r="23">
          <cell r="A23" t="str">
            <v>Mixto</v>
          </cell>
          <cell r="B23">
            <v>25</v>
          </cell>
          <cell r="D23" t="str">
            <v/>
          </cell>
          <cell r="J23">
            <v>0</v>
          </cell>
          <cell r="K23">
            <v>0</v>
          </cell>
          <cell r="AA23" t="str">
            <v>xs</v>
          </cell>
          <cell r="AB23">
            <v>25</v>
          </cell>
          <cell r="AC23">
            <v>0</v>
          </cell>
          <cell r="AD23">
            <v>0</v>
          </cell>
        </row>
        <row r="24">
          <cell r="C24">
            <v>0</v>
          </cell>
          <cell r="D24" t="str">
            <v/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AC24">
            <v>0</v>
          </cell>
          <cell r="AD24">
            <v>0</v>
          </cell>
        </row>
        <row r="25">
          <cell r="A25" t="str">
            <v>H2E (Orig.) x 80</v>
          </cell>
          <cell r="B25" t="str">
            <v>kg</v>
          </cell>
          <cell r="AA25" t="str">
            <v>H2E (Orig.) x 80</v>
          </cell>
          <cell r="AB25" t="str">
            <v>kg</v>
          </cell>
        </row>
        <row r="26">
          <cell r="A26" t="str">
            <v>Jb</v>
          </cell>
          <cell r="B26">
            <v>12.5</v>
          </cell>
          <cell r="C26">
            <v>184</v>
          </cell>
          <cell r="D26">
            <v>0.64111498257839716</v>
          </cell>
          <cell r="I26">
            <v>169</v>
          </cell>
          <cell r="J26">
            <v>15</v>
          </cell>
          <cell r="K26">
            <v>0.20833333333333334</v>
          </cell>
          <cell r="AA26" t="str">
            <v>Jb</v>
          </cell>
          <cell r="AB26">
            <v>12.5</v>
          </cell>
          <cell r="AC26">
            <v>1500</v>
          </cell>
          <cell r="AD26">
            <v>0.80042689434365</v>
          </cell>
        </row>
        <row r="27">
          <cell r="A27" t="str">
            <v>Xl</v>
          </cell>
          <cell r="B27">
            <v>12.5</v>
          </cell>
          <cell r="C27">
            <v>65</v>
          </cell>
          <cell r="D27">
            <v>0.2264808362369338</v>
          </cell>
          <cell r="J27">
            <v>65</v>
          </cell>
          <cell r="K27">
            <v>0.90277777777777779</v>
          </cell>
          <cell r="AA27" t="str">
            <v>Xl</v>
          </cell>
          <cell r="AB27">
            <v>12.5</v>
          </cell>
          <cell r="AC27">
            <v>215</v>
          </cell>
          <cell r="AD27">
            <v>0.11472785485592316</v>
          </cell>
        </row>
        <row r="28">
          <cell r="A28" t="str">
            <v>Lg</v>
          </cell>
          <cell r="B28">
            <v>12.5</v>
          </cell>
          <cell r="C28">
            <v>20</v>
          </cell>
          <cell r="D28">
            <v>6.968641114982578E-2</v>
          </cell>
          <cell r="I28">
            <v>1</v>
          </cell>
          <cell r="J28">
            <v>19</v>
          </cell>
          <cell r="K28">
            <v>0.2638888888888889</v>
          </cell>
          <cell r="AA28" t="str">
            <v>Lg</v>
          </cell>
          <cell r="AB28">
            <v>12.5</v>
          </cell>
          <cell r="AC28">
            <v>85</v>
          </cell>
          <cell r="AD28">
            <v>4.5357524012806828E-2</v>
          </cell>
        </row>
        <row r="29">
          <cell r="A29" t="str">
            <v>Md</v>
          </cell>
          <cell r="B29">
            <v>12.5</v>
          </cell>
          <cell r="C29">
            <v>7</v>
          </cell>
          <cell r="D29">
            <v>2.4390243902439025E-2</v>
          </cell>
          <cell r="J29">
            <v>7</v>
          </cell>
          <cell r="K29">
            <v>9.7222222222222224E-2</v>
          </cell>
          <cell r="AA29" t="str">
            <v>Md</v>
          </cell>
          <cell r="AB29">
            <v>12.5</v>
          </cell>
          <cell r="AC29">
            <v>37</v>
          </cell>
          <cell r="AD29">
            <v>1.9743863393810034E-2</v>
          </cell>
        </row>
        <row r="30">
          <cell r="A30" t="str">
            <v>Sm</v>
          </cell>
          <cell r="B30">
            <v>12.5</v>
          </cell>
          <cell r="C30">
            <v>8</v>
          </cell>
          <cell r="D30">
            <v>2.7874564459930314E-2</v>
          </cell>
          <cell r="J30">
            <v>8</v>
          </cell>
          <cell r="K30">
            <v>0.1111111111111111</v>
          </cell>
          <cell r="AA30" t="str">
            <v>Sm</v>
          </cell>
          <cell r="AB30">
            <v>12.5</v>
          </cell>
          <cell r="AC30">
            <v>29</v>
          </cell>
          <cell r="AD30">
            <v>1.5474919957310566E-2</v>
          </cell>
        </row>
        <row r="31">
          <cell r="A31" t="str">
            <v>Mixto</v>
          </cell>
          <cell r="B31">
            <v>12.5</v>
          </cell>
          <cell r="C31">
            <v>3</v>
          </cell>
          <cell r="D31">
            <v>1.0452961672473868E-2</v>
          </cell>
          <cell r="J31">
            <v>3</v>
          </cell>
          <cell r="K31">
            <v>4.1666666666666664E-2</v>
          </cell>
          <cell r="AA31" t="str">
            <v>xs</v>
          </cell>
          <cell r="AB31">
            <v>12.5</v>
          </cell>
          <cell r="AC31">
            <v>8</v>
          </cell>
          <cell r="AD31">
            <v>4.2689434364994666E-3</v>
          </cell>
        </row>
        <row r="32">
          <cell r="C32">
            <v>287</v>
          </cell>
          <cell r="D32">
            <v>1</v>
          </cell>
          <cell r="F32">
            <v>0</v>
          </cell>
          <cell r="G32">
            <v>0</v>
          </cell>
          <cell r="H32">
            <v>0</v>
          </cell>
          <cell r="I32">
            <v>170</v>
          </cell>
          <cell r="J32">
            <v>117</v>
          </cell>
          <cell r="K32">
            <v>1.625</v>
          </cell>
          <cell r="AC32">
            <v>1874</v>
          </cell>
          <cell r="AD32">
            <v>1</v>
          </cell>
        </row>
        <row r="33">
          <cell r="A33" t="str">
            <v>Genérica x 80</v>
          </cell>
          <cell r="B33" t="str">
            <v>kg</v>
          </cell>
          <cell r="AA33" t="str">
            <v>Genérica x 80</v>
          </cell>
          <cell r="AB33" t="str">
            <v>kg</v>
          </cell>
        </row>
        <row r="34">
          <cell r="A34" t="str">
            <v>Jb</v>
          </cell>
          <cell r="B34">
            <v>13</v>
          </cell>
          <cell r="D34" t="str">
            <v/>
          </cell>
          <cell r="J34">
            <v>0</v>
          </cell>
          <cell r="K34">
            <v>0</v>
          </cell>
          <cell r="AA34" t="str">
            <v>Jb</v>
          </cell>
          <cell r="AB34">
            <v>13</v>
          </cell>
          <cell r="AC34">
            <v>0</v>
          </cell>
          <cell r="AD34">
            <v>0</v>
          </cell>
        </row>
        <row r="35">
          <cell r="A35" t="str">
            <v>Xl</v>
          </cell>
          <cell r="B35">
            <v>13</v>
          </cell>
          <cell r="D35" t="str">
            <v/>
          </cell>
          <cell r="J35">
            <v>0</v>
          </cell>
          <cell r="K35">
            <v>0</v>
          </cell>
          <cell r="AA35" t="str">
            <v>Xl</v>
          </cell>
          <cell r="AB35">
            <v>13</v>
          </cell>
          <cell r="AC35">
            <v>0</v>
          </cell>
          <cell r="AD35">
            <v>0</v>
          </cell>
        </row>
        <row r="36">
          <cell r="A36" t="str">
            <v>Lg</v>
          </cell>
          <cell r="B36">
            <v>13</v>
          </cell>
          <cell r="D36" t="str">
            <v/>
          </cell>
          <cell r="J36">
            <v>0</v>
          </cell>
          <cell r="K36">
            <v>0</v>
          </cell>
          <cell r="AA36" t="str">
            <v>Lg</v>
          </cell>
          <cell r="AB36">
            <v>13</v>
          </cell>
          <cell r="AC36">
            <v>0</v>
          </cell>
          <cell r="AD36">
            <v>0</v>
          </cell>
        </row>
        <row r="37">
          <cell r="A37" t="str">
            <v>Md</v>
          </cell>
          <cell r="B37">
            <v>13</v>
          </cell>
          <cell r="D37" t="str">
            <v/>
          </cell>
          <cell r="J37">
            <v>0</v>
          </cell>
          <cell r="K37">
            <v>0</v>
          </cell>
          <cell r="AA37" t="str">
            <v>Md</v>
          </cell>
          <cell r="AB37">
            <v>13</v>
          </cell>
          <cell r="AC37">
            <v>0</v>
          </cell>
          <cell r="AD37">
            <v>0</v>
          </cell>
        </row>
        <row r="38">
          <cell r="A38" t="str">
            <v>Sm</v>
          </cell>
          <cell r="B38">
            <v>13</v>
          </cell>
          <cell r="D38" t="str">
            <v/>
          </cell>
          <cell r="J38">
            <v>0</v>
          </cell>
          <cell r="K38">
            <v>0</v>
          </cell>
          <cell r="AA38" t="str">
            <v>Sm</v>
          </cell>
          <cell r="AB38">
            <v>13</v>
          </cell>
          <cell r="AC38">
            <v>0</v>
          </cell>
          <cell r="AD38">
            <v>0</v>
          </cell>
        </row>
        <row r="39">
          <cell r="A39" t="str">
            <v>Mixto</v>
          </cell>
          <cell r="B39">
            <v>0</v>
          </cell>
          <cell r="D39" t="str">
            <v/>
          </cell>
          <cell r="J39">
            <v>0</v>
          </cell>
          <cell r="K39">
            <v>0</v>
          </cell>
          <cell r="AA39" t="str">
            <v>xs</v>
          </cell>
          <cell r="AB39">
            <v>0</v>
          </cell>
          <cell r="AC39">
            <v>0</v>
          </cell>
          <cell r="AD39">
            <v>0</v>
          </cell>
        </row>
        <row r="40">
          <cell r="C40">
            <v>0</v>
          </cell>
          <cell r="D40" t="str">
            <v/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AC40">
            <v>0</v>
          </cell>
          <cell r="AD40">
            <v>0</v>
          </cell>
        </row>
        <row r="41">
          <cell r="A41" t="str">
            <v>1 1/9 x 80</v>
          </cell>
          <cell r="B41" t="str">
            <v>kg</v>
          </cell>
        </row>
        <row r="42">
          <cell r="A42" t="str">
            <v>Jb</v>
          </cell>
          <cell r="B42">
            <v>22</v>
          </cell>
          <cell r="D42" t="str">
            <v/>
          </cell>
          <cell r="J42">
            <v>0</v>
          </cell>
          <cell r="K42">
            <v>0</v>
          </cell>
        </row>
        <row r="43">
          <cell r="A43" t="str">
            <v>Xl</v>
          </cell>
          <cell r="B43">
            <v>22</v>
          </cell>
          <cell r="D43" t="str">
            <v/>
          </cell>
          <cell r="J43">
            <v>0</v>
          </cell>
          <cell r="K43">
            <v>0</v>
          </cell>
        </row>
        <row r="44">
          <cell r="A44" t="str">
            <v>Lg</v>
          </cell>
          <cell r="B44">
            <v>22</v>
          </cell>
          <cell r="D44" t="str">
            <v/>
          </cell>
          <cell r="J44">
            <v>0</v>
          </cell>
          <cell r="K44">
            <v>0</v>
          </cell>
        </row>
        <row r="45">
          <cell r="A45" t="str">
            <v>Md</v>
          </cell>
          <cell r="B45">
            <v>22</v>
          </cell>
          <cell r="D45" t="str">
            <v/>
          </cell>
          <cell r="J45">
            <v>0</v>
          </cell>
          <cell r="K45">
            <v>0</v>
          </cell>
        </row>
        <row r="46">
          <cell r="A46" t="str">
            <v>Sm</v>
          </cell>
          <cell r="B46">
            <v>22</v>
          </cell>
          <cell r="D46" t="str">
            <v/>
          </cell>
          <cell r="J46">
            <v>0</v>
          </cell>
          <cell r="K46">
            <v>0</v>
          </cell>
        </row>
        <row r="47">
          <cell r="A47" t="str">
            <v>Mixto</v>
          </cell>
          <cell r="B47">
            <v>0</v>
          </cell>
          <cell r="D47" t="str">
            <v/>
          </cell>
          <cell r="J47">
            <v>0</v>
          </cell>
          <cell r="K47">
            <v>0</v>
          </cell>
        </row>
        <row r="48">
          <cell r="C48">
            <v>0</v>
          </cell>
          <cell r="D48" t="str">
            <v/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</row>
        <row r="49">
          <cell r="A49" t="str">
            <v>DF Clam 24 Lb x 50</v>
          </cell>
          <cell r="B49" t="str">
            <v>lb</v>
          </cell>
          <cell r="AA49" t="str">
            <v>DF Clam 24 Lb x 50</v>
          </cell>
          <cell r="AB49" t="str">
            <v>lb</v>
          </cell>
        </row>
        <row r="50">
          <cell r="A50" t="str">
            <v>Jb</v>
          </cell>
          <cell r="B50">
            <v>24</v>
          </cell>
          <cell r="D50" t="str">
            <v/>
          </cell>
          <cell r="J50">
            <v>0</v>
          </cell>
          <cell r="K50">
            <v>0</v>
          </cell>
          <cell r="AA50" t="str">
            <v>Jb</v>
          </cell>
          <cell r="AB50">
            <v>24</v>
          </cell>
          <cell r="AC50">
            <v>0</v>
          </cell>
          <cell r="AD50">
            <v>0</v>
          </cell>
        </row>
        <row r="51">
          <cell r="A51" t="str">
            <v>Xl</v>
          </cell>
          <cell r="B51">
            <v>24</v>
          </cell>
          <cell r="D51" t="str">
            <v/>
          </cell>
          <cell r="J51">
            <v>0</v>
          </cell>
          <cell r="K51">
            <v>0</v>
          </cell>
          <cell r="AA51" t="str">
            <v>Xl</v>
          </cell>
          <cell r="AB51">
            <v>24</v>
          </cell>
          <cell r="AC51">
            <v>0</v>
          </cell>
          <cell r="AD51">
            <v>0</v>
          </cell>
        </row>
        <row r="52">
          <cell r="A52" t="str">
            <v>Lg</v>
          </cell>
          <cell r="B52">
            <v>24</v>
          </cell>
          <cell r="D52" t="str">
            <v/>
          </cell>
          <cell r="J52">
            <v>0</v>
          </cell>
          <cell r="K52">
            <v>0</v>
          </cell>
          <cell r="AA52" t="str">
            <v>Lg</v>
          </cell>
          <cell r="AB52">
            <v>24</v>
          </cell>
          <cell r="AC52">
            <v>0</v>
          </cell>
          <cell r="AD52">
            <v>0</v>
          </cell>
        </row>
        <row r="53">
          <cell r="A53" t="str">
            <v>Md</v>
          </cell>
          <cell r="B53">
            <v>24</v>
          </cell>
          <cell r="D53" t="str">
            <v/>
          </cell>
          <cell r="J53">
            <v>0</v>
          </cell>
          <cell r="K53">
            <v>0</v>
          </cell>
          <cell r="AA53" t="str">
            <v>Md</v>
          </cell>
          <cell r="AB53">
            <v>24</v>
          </cell>
          <cell r="AC53">
            <v>0</v>
          </cell>
          <cell r="AD53">
            <v>0</v>
          </cell>
        </row>
        <row r="54">
          <cell r="A54" t="str">
            <v>Sm</v>
          </cell>
          <cell r="B54">
            <v>24</v>
          </cell>
          <cell r="D54" t="str">
            <v/>
          </cell>
          <cell r="J54">
            <v>0</v>
          </cell>
          <cell r="K54">
            <v>0</v>
          </cell>
          <cell r="AA54" t="str">
            <v>Sm</v>
          </cell>
          <cell r="AB54">
            <v>24</v>
          </cell>
          <cell r="AC54">
            <v>0</v>
          </cell>
          <cell r="AD54">
            <v>0</v>
          </cell>
        </row>
        <row r="55">
          <cell r="A55" t="str">
            <v>Mixto</v>
          </cell>
          <cell r="B55">
            <v>0</v>
          </cell>
          <cell r="D55" t="str">
            <v/>
          </cell>
          <cell r="J55">
            <v>0</v>
          </cell>
          <cell r="K55">
            <v>0</v>
          </cell>
          <cell r="AA55" t="str">
            <v>xs</v>
          </cell>
          <cell r="AB55">
            <v>0</v>
          </cell>
          <cell r="AC55">
            <v>0</v>
          </cell>
          <cell r="AD55">
            <v>0</v>
          </cell>
        </row>
        <row r="56">
          <cell r="C56">
            <v>0</v>
          </cell>
          <cell r="D56" t="str">
            <v/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AC56">
            <v>0</v>
          </cell>
          <cell r="AD56">
            <v>0</v>
          </cell>
        </row>
        <row r="58">
          <cell r="C58">
            <v>287</v>
          </cell>
          <cell r="G58">
            <v>0</v>
          </cell>
          <cell r="H58">
            <v>0</v>
          </cell>
          <cell r="I58">
            <v>170</v>
          </cell>
          <cell r="J58">
            <v>117</v>
          </cell>
          <cell r="K58">
            <v>1.625</v>
          </cell>
          <cell r="O58">
            <v>3587.5</v>
          </cell>
          <cell r="AA58" t="str">
            <v>Totales</v>
          </cell>
          <cell r="AC58">
            <v>1874</v>
          </cell>
        </row>
        <row r="59">
          <cell r="F59">
            <v>0</v>
          </cell>
          <cell r="AC59">
            <v>267.71428571428572</v>
          </cell>
        </row>
        <row r="60">
          <cell r="C60">
            <v>229.6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7">
          <cell r="J7">
            <v>46134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130">
          <cell r="F130">
            <v>659</v>
          </cell>
        </row>
        <row r="132">
          <cell r="F132">
            <v>0.89226100151745069</v>
          </cell>
        </row>
      </sheetData>
      <sheetData sheetId="85"/>
      <sheetData sheetId="86">
        <row r="6">
          <cell r="B6">
            <v>46134</v>
          </cell>
          <cell r="H6">
            <v>34</v>
          </cell>
        </row>
        <row r="7">
          <cell r="B7">
            <v>46139</v>
          </cell>
          <cell r="H7">
            <v>83</v>
          </cell>
        </row>
        <row r="8">
          <cell r="B8">
            <v>46140</v>
          </cell>
          <cell r="H8">
            <v>0</v>
          </cell>
        </row>
        <row r="9">
          <cell r="B9">
            <v>46141</v>
          </cell>
          <cell r="H9">
            <v>101</v>
          </cell>
        </row>
        <row r="10">
          <cell r="B10">
            <v>46144</v>
          </cell>
          <cell r="H10">
            <v>171</v>
          </cell>
        </row>
        <row r="11">
          <cell r="B11">
            <v>46146</v>
          </cell>
          <cell r="H11">
            <v>211</v>
          </cell>
        </row>
        <row r="12">
          <cell r="B12">
            <v>46148</v>
          </cell>
          <cell r="H12">
            <v>303</v>
          </cell>
        </row>
        <row r="13">
          <cell r="B13">
            <v>46150</v>
          </cell>
          <cell r="H13">
            <v>312</v>
          </cell>
        </row>
        <row r="14">
          <cell r="B14">
            <v>46153</v>
          </cell>
          <cell r="H14">
            <v>372</v>
          </cell>
        </row>
        <row r="15">
          <cell r="B15">
            <v>46155</v>
          </cell>
          <cell r="H15">
            <v>287</v>
          </cell>
        </row>
        <row r="16">
          <cell r="B16">
            <v>0</v>
          </cell>
          <cell r="H16">
            <v>0</v>
          </cell>
        </row>
        <row r="17">
          <cell r="B17">
            <v>0</v>
          </cell>
          <cell r="H17">
            <v>0</v>
          </cell>
        </row>
        <row r="18">
          <cell r="B18">
            <v>0</v>
          </cell>
          <cell r="H18">
            <v>0</v>
          </cell>
        </row>
        <row r="19">
          <cell r="B19">
            <v>0</v>
          </cell>
          <cell r="H19">
            <v>0</v>
          </cell>
        </row>
        <row r="20">
          <cell r="B20">
            <v>0</v>
          </cell>
          <cell r="H20">
            <v>0</v>
          </cell>
        </row>
        <row r="21">
          <cell r="B21">
            <v>0</v>
          </cell>
          <cell r="H21">
            <v>0</v>
          </cell>
        </row>
        <row r="22">
          <cell r="B22">
            <v>0</v>
          </cell>
          <cell r="H22">
            <v>0</v>
          </cell>
        </row>
        <row r="23">
          <cell r="B23">
            <v>0</v>
          </cell>
          <cell r="H23">
            <v>0</v>
          </cell>
        </row>
        <row r="24">
          <cell r="B24">
            <v>0</v>
          </cell>
          <cell r="H24">
            <v>0</v>
          </cell>
        </row>
        <row r="25">
          <cell r="B25">
            <v>0</v>
          </cell>
          <cell r="H25">
            <v>0</v>
          </cell>
        </row>
        <row r="26">
          <cell r="B26">
            <v>0</v>
          </cell>
          <cell r="H26">
            <v>0</v>
          </cell>
        </row>
        <row r="27">
          <cell r="B27">
            <v>0</v>
          </cell>
          <cell r="H27">
            <v>0</v>
          </cell>
        </row>
        <row r="28">
          <cell r="B28">
            <v>0</v>
          </cell>
          <cell r="H28">
            <v>0</v>
          </cell>
        </row>
        <row r="29">
          <cell r="B29">
            <v>0</v>
          </cell>
          <cell r="H29">
            <v>0</v>
          </cell>
        </row>
        <row r="30">
          <cell r="B30">
            <v>0</v>
          </cell>
          <cell r="H30">
            <v>0</v>
          </cell>
        </row>
        <row r="31">
          <cell r="B31">
            <v>0</v>
          </cell>
          <cell r="H31">
            <v>0</v>
          </cell>
        </row>
        <row r="32">
          <cell r="B32">
            <v>0</v>
          </cell>
          <cell r="H32">
            <v>0</v>
          </cell>
        </row>
        <row r="33">
          <cell r="B33">
            <v>0</v>
          </cell>
          <cell r="H33">
            <v>0</v>
          </cell>
        </row>
        <row r="34">
          <cell r="B34">
            <v>0</v>
          </cell>
          <cell r="H34">
            <v>0</v>
          </cell>
        </row>
        <row r="35">
          <cell r="B35">
            <v>0</v>
          </cell>
          <cell r="H35">
            <v>0</v>
          </cell>
        </row>
        <row r="36">
          <cell r="B36">
            <v>0</v>
          </cell>
          <cell r="H36">
            <v>0</v>
          </cell>
        </row>
        <row r="37">
          <cell r="B37">
            <v>0</v>
          </cell>
          <cell r="H37">
            <v>0</v>
          </cell>
        </row>
        <row r="38">
          <cell r="B38">
            <v>0</v>
          </cell>
          <cell r="H38">
            <v>0</v>
          </cell>
        </row>
        <row r="39">
          <cell r="B39">
            <v>0</v>
          </cell>
          <cell r="H39">
            <v>0</v>
          </cell>
        </row>
        <row r="40">
          <cell r="B40">
            <v>0</v>
          </cell>
          <cell r="H40">
            <v>0</v>
          </cell>
        </row>
        <row r="41">
          <cell r="B41">
            <v>0</v>
          </cell>
          <cell r="H41">
            <v>0</v>
          </cell>
        </row>
        <row r="42">
          <cell r="B42">
            <v>0</v>
          </cell>
          <cell r="H42">
            <v>0</v>
          </cell>
        </row>
        <row r="43">
          <cell r="B43">
            <v>0</v>
          </cell>
          <cell r="H43">
            <v>0</v>
          </cell>
        </row>
        <row r="44">
          <cell r="B44">
            <v>0</v>
          </cell>
          <cell r="H44">
            <v>0</v>
          </cell>
        </row>
        <row r="45">
          <cell r="B45">
            <v>0</v>
          </cell>
          <cell r="H45">
            <v>0</v>
          </cell>
        </row>
        <row r="46">
          <cell r="B46">
            <v>0</v>
          </cell>
          <cell r="H46">
            <v>0</v>
          </cell>
        </row>
        <row r="47">
          <cell r="B47">
            <v>0</v>
          </cell>
          <cell r="H47">
            <v>0</v>
          </cell>
        </row>
        <row r="48">
          <cell r="B48">
            <v>0</v>
          </cell>
          <cell r="H48">
            <v>0</v>
          </cell>
        </row>
        <row r="49">
          <cell r="B49">
            <v>0</v>
          </cell>
          <cell r="H49">
            <v>0</v>
          </cell>
        </row>
        <row r="50">
          <cell r="B50">
            <v>0</v>
          </cell>
          <cell r="H50">
            <v>0</v>
          </cell>
        </row>
        <row r="51">
          <cell r="B51">
            <v>0</v>
          </cell>
          <cell r="H51">
            <v>0</v>
          </cell>
        </row>
        <row r="52">
          <cell r="B52">
            <v>0</v>
          </cell>
          <cell r="H52">
            <v>0</v>
          </cell>
        </row>
        <row r="53">
          <cell r="B53">
            <v>0</v>
          </cell>
          <cell r="H53">
            <v>0</v>
          </cell>
        </row>
        <row r="54">
          <cell r="B54">
            <v>0</v>
          </cell>
          <cell r="H54">
            <v>0</v>
          </cell>
        </row>
        <row r="55">
          <cell r="B55">
            <v>0</v>
          </cell>
          <cell r="H55">
            <v>0</v>
          </cell>
        </row>
        <row r="56">
          <cell r="B56">
            <v>0</v>
          </cell>
          <cell r="H56">
            <v>0</v>
          </cell>
        </row>
        <row r="57">
          <cell r="B57">
            <v>0</v>
          </cell>
          <cell r="H57">
            <v>0</v>
          </cell>
        </row>
        <row r="58">
          <cell r="B58">
            <v>0</v>
          </cell>
          <cell r="H58">
            <v>0</v>
          </cell>
        </row>
        <row r="59">
          <cell r="B59">
            <v>0</v>
          </cell>
          <cell r="H59">
            <v>0</v>
          </cell>
        </row>
        <row r="60">
          <cell r="B60">
            <v>0</v>
          </cell>
          <cell r="H60">
            <v>0</v>
          </cell>
        </row>
        <row r="61">
          <cell r="B61">
            <v>0</v>
          </cell>
          <cell r="H61">
            <v>0</v>
          </cell>
        </row>
        <row r="62">
          <cell r="B62">
            <v>0</v>
          </cell>
          <cell r="H62">
            <v>0</v>
          </cell>
        </row>
        <row r="63">
          <cell r="B63">
            <v>0</v>
          </cell>
          <cell r="H63">
            <v>0</v>
          </cell>
        </row>
        <row r="64">
          <cell r="B64">
            <v>0</v>
          </cell>
          <cell r="H64">
            <v>0</v>
          </cell>
        </row>
        <row r="65">
          <cell r="B65">
            <v>0</v>
          </cell>
          <cell r="H65">
            <v>0</v>
          </cell>
        </row>
        <row r="66">
          <cell r="B66">
            <v>0</v>
          </cell>
          <cell r="H66">
            <v>0</v>
          </cell>
        </row>
        <row r="67">
          <cell r="B67">
            <v>0</v>
          </cell>
          <cell r="H67">
            <v>0</v>
          </cell>
        </row>
        <row r="68">
          <cell r="B68">
            <v>0</v>
          </cell>
          <cell r="H68">
            <v>0</v>
          </cell>
        </row>
        <row r="69">
          <cell r="B69">
            <v>0</v>
          </cell>
          <cell r="H69">
            <v>0</v>
          </cell>
        </row>
        <row r="70">
          <cell r="B70">
            <v>0</v>
          </cell>
          <cell r="H70">
            <v>0</v>
          </cell>
        </row>
        <row r="71">
          <cell r="B71">
            <v>0</v>
          </cell>
          <cell r="H71">
            <v>0</v>
          </cell>
        </row>
        <row r="72">
          <cell r="B72">
            <v>0</v>
          </cell>
          <cell r="H72">
            <v>0</v>
          </cell>
        </row>
        <row r="73">
          <cell r="B73">
            <v>0</v>
          </cell>
          <cell r="H73">
            <v>0</v>
          </cell>
        </row>
        <row r="74">
          <cell r="B74">
            <v>0</v>
          </cell>
          <cell r="H74">
            <v>0</v>
          </cell>
        </row>
        <row r="75">
          <cell r="B75">
            <v>0</v>
          </cell>
          <cell r="H75">
            <v>0</v>
          </cell>
        </row>
        <row r="76">
          <cell r="B76">
            <v>0</v>
          </cell>
          <cell r="H76">
            <v>0</v>
          </cell>
        </row>
        <row r="77">
          <cell r="B77">
            <v>0</v>
          </cell>
          <cell r="H77">
            <v>0</v>
          </cell>
        </row>
        <row r="78">
          <cell r="B78">
            <v>0</v>
          </cell>
          <cell r="H78">
            <v>0</v>
          </cell>
        </row>
        <row r="79">
          <cell r="B79">
            <v>0</v>
          </cell>
          <cell r="H79">
            <v>0</v>
          </cell>
        </row>
        <row r="80">
          <cell r="B80">
            <v>0</v>
          </cell>
          <cell r="H80">
            <v>0</v>
          </cell>
        </row>
        <row r="81">
          <cell r="B81">
            <v>0</v>
          </cell>
          <cell r="H81">
            <v>0</v>
          </cell>
        </row>
        <row r="82">
          <cell r="B82">
            <v>0</v>
          </cell>
          <cell r="H82">
            <v>0</v>
          </cell>
        </row>
        <row r="83">
          <cell r="B83">
            <v>0</v>
          </cell>
          <cell r="H83">
            <v>0</v>
          </cell>
        </row>
        <row r="84">
          <cell r="B84">
            <v>0</v>
          </cell>
          <cell r="H84">
            <v>0</v>
          </cell>
        </row>
        <row r="85">
          <cell r="B85">
            <v>0</v>
          </cell>
          <cell r="H85">
            <v>0</v>
          </cell>
        </row>
        <row r="114">
          <cell r="B114">
            <v>30</v>
          </cell>
        </row>
        <row r="115">
          <cell r="B115">
            <v>27.666666666666668</v>
          </cell>
        </row>
        <row r="116">
          <cell r="B116" t="e">
            <v>#DIV/0!</v>
          </cell>
        </row>
        <row r="117">
          <cell r="B117">
            <v>26.814159292035399</v>
          </cell>
        </row>
        <row r="118">
          <cell r="B118">
            <v>27.287234042553191</v>
          </cell>
        </row>
        <row r="119">
          <cell r="B119">
            <v>26.375</v>
          </cell>
        </row>
        <row r="120">
          <cell r="B120">
            <v>27.545454545454547</v>
          </cell>
        </row>
        <row r="121">
          <cell r="B121">
            <v>27.52941176470588</v>
          </cell>
        </row>
        <row r="122">
          <cell r="B122">
            <v>28.040201005025125</v>
          </cell>
        </row>
        <row r="123">
          <cell r="B123">
            <v>28.229508196721312</v>
          </cell>
        </row>
        <row r="124">
          <cell r="B124" t="e">
            <v>#VALUE!</v>
          </cell>
        </row>
        <row r="125">
          <cell r="B125" t="e">
            <v>#VALUE!</v>
          </cell>
        </row>
        <row r="126">
          <cell r="B126" t="e">
            <v>#VALUE!</v>
          </cell>
        </row>
        <row r="127">
          <cell r="B127" t="e">
            <v>#VALUE!</v>
          </cell>
        </row>
        <row r="128">
          <cell r="B128" t="e">
            <v>#VALUE!</v>
          </cell>
        </row>
        <row r="129">
          <cell r="B129" t="e">
            <v>#VALUE!</v>
          </cell>
        </row>
        <row r="130">
          <cell r="B130" t="e">
            <v>#VALUE!</v>
          </cell>
        </row>
        <row r="131">
          <cell r="B131" t="e">
            <v>#VALUE!</v>
          </cell>
        </row>
        <row r="132">
          <cell r="B132" t="e">
            <v>#VALUE!</v>
          </cell>
        </row>
        <row r="133">
          <cell r="B133" t="e">
            <v>#VALUE!</v>
          </cell>
        </row>
        <row r="134">
          <cell r="B134" t="e">
            <v>#VALUE!</v>
          </cell>
        </row>
        <row r="135">
          <cell r="B135" t="e">
            <v>#VALUE!</v>
          </cell>
        </row>
      </sheetData>
      <sheetData sheetId="87"/>
      <sheetData sheetId="88"/>
      <sheetData sheetId="89"/>
      <sheetData sheetId="90"/>
      <sheetData sheetId="91">
        <row r="11">
          <cell r="B11">
            <v>46134</v>
          </cell>
          <cell r="C11" t="str">
            <v>H2E México SA de CV</v>
          </cell>
          <cell r="D11">
            <v>1.1333333333333333</v>
          </cell>
          <cell r="E11">
            <v>0</v>
          </cell>
          <cell r="G11">
            <v>34</v>
          </cell>
          <cell r="H11">
            <v>34</v>
          </cell>
          <cell r="I11">
            <v>27.2</v>
          </cell>
        </row>
        <row r="12">
          <cell r="B12">
            <v>46139</v>
          </cell>
          <cell r="C12" t="str">
            <v>H2E México SA de CV</v>
          </cell>
          <cell r="D12">
            <v>3</v>
          </cell>
          <cell r="E12">
            <v>0</v>
          </cell>
          <cell r="G12">
            <v>83</v>
          </cell>
          <cell r="H12">
            <v>117</v>
          </cell>
          <cell r="I12">
            <v>93.6</v>
          </cell>
        </row>
        <row r="13">
          <cell r="B13">
            <v>46140</v>
          </cell>
          <cell r="C13" t="str">
            <v>H2E México SA de CV</v>
          </cell>
          <cell r="D13">
            <v>0</v>
          </cell>
          <cell r="E13">
            <v>0</v>
          </cell>
          <cell r="G13">
            <v>0</v>
          </cell>
          <cell r="H13">
            <v>117</v>
          </cell>
          <cell r="I13">
            <v>93.6</v>
          </cell>
        </row>
        <row r="14">
          <cell r="B14">
            <v>46141</v>
          </cell>
          <cell r="C14" t="str">
            <v>H2E México SA de CV</v>
          </cell>
          <cell r="D14">
            <v>3.7666666666666666</v>
          </cell>
          <cell r="E14">
            <v>0</v>
          </cell>
          <cell r="G14">
            <v>101</v>
          </cell>
          <cell r="H14">
            <v>218</v>
          </cell>
          <cell r="I14">
            <v>174.4</v>
          </cell>
        </row>
        <row r="15">
          <cell r="B15">
            <v>46144</v>
          </cell>
          <cell r="C15" t="str">
            <v>H2E México SA de CV</v>
          </cell>
          <cell r="D15">
            <v>6.2666666666666666</v>
          </cell>
          <cell r="E15">
            <v>0</v>
          </cell>
          <cell r="G15">
            <v>171</v>
          </cell>
          <cell r="H15">
            <v>389</v>
          </cell>
          <cell r="I15">
            <v>311.2</v>
          </cell>
        </row>
        <row r="16">
          <cell r="B16">
            <v>46146</v>
          </cell>
          <cell r="C16" t="str">
            <v>H2E México SA de CV</v>
          </cell>
          <cell r="D16">
            <v>8</v>
          </cell>
          <cell r="E16">
            <v>0</v>
          </cell>
          <cell r="G16">
            <v>211</v>
          </cell>
          <cell r="H16">
            <v>600</v>
          </cell>
          <cell r="I16">
            <v>480</v>
          </cell>
        </row>
        <row r="17">
          <cell r="B17">
            <v>46148</v>
          </cell>
          <cell r="C17" t="str">
            <v>H2E México SA de CV</v>
          </cell>
          <cell r="D17">
            <v>11</v>
          </cell>
          <cell r="E17">
            <v>0</v>
          </cell>
          <cell r="G17">
            <v>303</v>
          </cell>
          <cell r="H17">
            <v>903</v>
          </cell>
          <cell r="I17">
            <v>722.4</v>
          </cell>
        </row>
        <row r="18">
          <cell r="B18">
            <v>46150</v>
          </cell>
          <cell r="C18" t="str">
            <v>H2E México SA de CV</v>
          </cell>
          <cell r="D18">
            <v>11.333333333333334</v>
          </cell>
          <cell r="E18">
            <v>0</v>
          </cell>
          <cell r="G18">
            <v>312</v>
          </cell>
          <cell r="H18">
            <v>1215</v>
          </cell>
          <cell r="I18">
            <v>972</v>
          </cell>
        </row>
        <row r="19">
          <cell r="B19">
            <v>46153</v>
          </cell>
          <cell r="C19" t="str">
            <v>H2E México SA de CV</v>
          </cell>
          <cell r="D19">
            <v>13.266666666666667</v>
          </cell>
          <cell r="E19">
            <v>0</v>
          </cell>
          <cell r="G19">
            <v>372</v>
          </cell>
          <cell r="H19">
            <v>1587</v>
          </cell>
          <cell r="I19">
            <v>1269.5999999999999</v>
          </cell>
        </row>
        <row r="20">
          <cell r="B20">
            <v>46155</v>
          </cell>
          <cell r="C20" t="str">
            <v>H2E México SA de CV</v>
          </cell>
          <cell r="D20">
            <v>10.166666666666666</v>
          </cell>
          <cell r="E20">
            <v>0</v>
          </cell>
          <cell r="G20">
            <v>287</v>
          </cell>
          <cell r="H20">
            <v>1874</v>
          </cell>
          <cell r="I20">
            <v>1499.2</v>
          </cell>
        </row>
        <row r="21">
          <cell r="B21">
            <v>0</v>
          </cell>
          <cell r="C21" t="str">
            <v>H2E México SA de CV</v>
          </cell>
          <cell r="D21" t="str">
            <v/>
          </cell>
          <cell r="E21" t="str">
            <v/>
          </cell>
          <cell r="G21">
            <v>0</v>
          </cell>
          <cell r="H21">
            <v>1874</v>
          </cell>
          <cell r="I21">
            <v>1499.2</v>
          </cell>
        </row>
        <row r="22">
          <cell r="B22">
            <v>0</v>
          </cell>
          <cell r="C22" t="str">
            <v>H2E México SA de CV</v>
          </cell>
          <cell r="D22" t="str">
            <v/>
          </cell>
          <cell r="E22" t="str">
            <v/>
          </cell>
          <cell r="G22">
            <v>0</v>
          </cell>
          <cell r="H22">
            <v>1874</v>
          </cell>
          <cell r="I22">
            <v>1499.2</v>
          </cell>
        </row>
        <row r="23">
          <cell r="B23">
            <v>0</v>
          </cell>
          <cell r="C23" t="str">
            <v>H2E México SA de CV</v>
          </cell>
          <cell r="D23" t="str">
            <v/>
          </cell>
          <cell r="E23" t="str">
            <v/>
          </cell>
          <cell r="G23">
            <v>0</v>
          </cell>
          <cell r="H23">
            <v>1874</v>
          </cell>
          <cell r="I23">
            <v>1499.2</v>
          </cell>
        </row>
        <row r="24">
          <cell r="B24">
            <v>0</v>
          </cell>
          <cell r="C24" t="str">
            <v>H2E México SA de CV</v>
          </cell>
          <cell r="D24" t="str">
            <v/>
          </cell>
          <cell r="E24" t="str">
            <v/>
          </cell>
          <cell r="G24">
            <v>0</v>
          </cell>
          <cell r="H24">
            <v>1874</v>
          </cell>
          <cell r="I24">
            <v>1499.2</v>
          </cell>
        </row>
        <row r="25">
          <cell r="B25">
            <v>0</v>
          </cell>
          <cell r="C25" t="str">
            <v>H2E México SA de CV</v>
          </cell>
          <cell r="D25" t="str">
            <v/>
          </cell>
          <cell r="E25" t="str">
            <v/>
          </cell>
          <cell r="G25">
            <v>0</v>
          </cell>
          <cell r="H25">
            <v>1874</v>
          </cell>
          <cell r="I25">
            <v>1499.2</v>
          </cell>
        </row>
        <row r="26">
          <cell r="B26">
            <v>0</v>
          </cell>
          <cell r="C26" t="str">
            <v>H2E México SA de CV</v>
          </cell>
          <cell r="D26" t="str">
            <v/>
          </cell>
          <cell r="E26" t="str">
            <v/>
          </cell>
          <cell r="G26">
            <v>0</v>
          </cell>
          <cell r="H26">
            <v>1874</v>
          </cell>
          <cell r="I26">
            <v>1499.2</v>
          </cell>
        </row>
        <row r="27">
          <cell r="B27">
            <v>0</v>
          </cell>
          <cell r="C27" t="str">
            <v>H2E México SA de CV</v>
          </cell>
          <cell r="D27" t="str">
            <v/>
          </cell>
          <cell r="E27" t="str">
            <v/>
          </cell>
          <cell r="G27">
            <v>0</v>
          </cell>
          <cell r="H27">
            <v>1874</v>
          </cell>
          <cell r="I27">
            <v>1499.2</v>
          </cell>
        </row>
        <row r="28">
          <cell r="B28">
            <v>0</v>
          </cell>
          <cell r="C28" t="str">
            <v>H2E México SA de CV</v>
          </cell>
          <cell r="D28" t="str">
            <v/>
          </cell>
          <cell r="E28" t="str">
            <v/>
          </cell>
          <cell r="G28">
            <v>0</v>
          </cell>
          <cell r="H28">
            <v>1874</v>
          </cell>
          <cell r="I28">
            <v>1499.2</v>
          </cell>
        </row>
        <row r="29">
          <cell r="B29">
            <v>0</v>
          </cell>
          <cell r="C29" t="str">
            <v>H2E México SA de CV</v>
          </cell>
          <cell r="D29" t="str">
            <v/>
          </cell>
          <cell r="E29" t="str">
            <v/>
          </cell>
          <cell r="G29">
            <v>0</v>
          </cell>
          <cell r="H29">
            <v>1874</v>
          </cell>
          <cell r="I29">
            <v>1499.2</v>
          </cell>
        </row>
        <row r="30">
          <cell r="B30">
            <v>0</v>
          </cell>
          <cell r="C30" t="str">
            <v>H2E México SA de CV</v>
          </cell>
          <cell r="D30" t="str">
            <v/>
          </cell>
          <cell r="E30" t="str">
            <v/>
          </cell>
          <cell r="G30">
            <v>0</v>
          </cell>
          <cell r="H30">
            <v>1874</v>
          </cell>
          <cell r="I30">
            <v>1499.2</v>
          </cell>
        </row>
        <row r="31">
          <cell r="B31">
            <v>0</v>
          </cell>
          <cell r="C31" t="str">
            <v>H2E México SA de CV</v>
          </cell>
          <cell r="D31" t="str">
            <v/>
          </cell>
          <cell r="E31" t="str">
            <v/>
          </cell>
          <cell r="G31">
            <v>0</v>
          </cell>
          <cell r="H31">
            <v>1874</v>
          </cell>
          <cell r="I31">
            <v>1499.2</v>
          </cell>
        </row>
        <row r="32">
          <cell r="B32">
            <v>0</v>
          </cell>
          <cell r="C32" t="str">
            <v>H2E México SA de CV</v>
          </cell>
          <cell r="D32" t="str">
            <v/>
          </cell>
          <cell r="E32" t="str">
            <v/>
          </cell>
          <cell r="G32">
            <v>0</v>
          </cell>
          <cell r="H32">
            <v>1874</v>
          </cell>
          <cell r="I32">
            <v>1499.2</v>
          </cell>
        </row>
        <row r="33">
          <cell r="B33">
            <v>0</v>
          </cell>
          <cell r="C33" t="str">
            <v>H2E México SA de CV</v>
          </cell>
          <cell r="D33" t="str">
            <v/>
          </cell>
          <cell r="E33" t="str">
            <v/>
          </cell>
          <cell r="G33">
            <v>0</v>
          </cell>
          <cell r="H33">
            <v>1874</v>
          </cell>
          <cell r="I33">
            <v>1499.2</v>
          </cell>
        </row>
        <row r="34">
          <cell r="B34">
            <v>0</v>
          </cell>
          <cell r="C34" t="str">
            <v>H2E México SA de CV</v>
          </cell>
          <cell r="D34" t="str">
            <v/>
          </cell>
          <cell r="E34" t="str">
            <v/>
          </cell>
          <cell r="G34">
            <v>0</v>
          </cell>
          <cell r="H34">
            <v>1874</v>
          </cell>
          <cell r="I34">
            <v>1499.2</v>
          </cell>
        </row>
        <row r="35">
          <cell r="B35">
            <v>0</v>
          </cell>
          <cell r="C35" t="str">
            <v>H2E México SA de CV</v>
          </cell>
          <cell r="D35" t="str">
            <v/>
          </cell>
          <cell r="E35" t="str">
            <v/>
          </cell>
          <cell r="G35">
            <v>0</v>
          </cell>
          <cell r="H35">
            <v>1874</v>
          </cell>
          <cell r="I35">
            <v>1499.2</v>
          </cell>
        </row>
        <row r="36">
          <cell r="B36">
            <v>0</v>
          </cell>
          <cell r="C36" t="str">
            <v>H2E México SA de CV</v>
          </cell>
          <cell r="D36" t="str">
            <v/>
          </cell>
          <cell r="E36" t="str">
            <v/>
          </cell>
          <cell r="G36">
            <v>0</v>
          </cell>
          <cell r="H36">
            <v>1874</v>
          </cell>
          <cell r="I36">
            <v>1499.2</v>
          </cell>
        </row>
        <row r="37">
          <cell r="B37">
            <v>0</v>
          </cell>
          <cell r="C37" t="str">
            <v>H2E México SA de CV</v>
          </cell>
          <cell r="D37" t="str">
            <v/>
          </cell>
          <cell r="E37" t="str">
            <v/>
          </cell>
          <cell r="G37">
            <v>0</v>
          </cell>
          <cell r="H37">
            <v>1874</v>
          </cell>
          <cell r="I37">
            <v>1499.2</v>
          </cell>
        </row>
        <row r="38">
          <cell r="B38">
            <v>0</v>
          </cell>
          <cell r="C38" t="str">
            <v>H2E México SA de CV</v>
          </cell>
          <cell r="D38" t="str">
            <v/>
          </cell>
          <cell r="E38" t="str">
            <v/>
          </cell>
          <cell r="G38">
            <v>0</v>
          </cell>
          <cell r="H38">
            <v>1874</v>
          </cell>
          <cell r="I38">
            <v>1499.2</v>
          </cell>
        </row>
        <row r="39">
          <cell r="B39">
            <v>0</v>
          </cell>
          <cell r="C39" t="str">
            <v>H2E México SA de CV</v>
          </cell>
          <cell r="D39" t="str">
            <v/>
          </cell>
          <cell r="E39" t="str">
            <v/>
          </cell>
          <cell r="G39">
            <v>0</v>
          </cell>
          <cell r="H39">
            <v>1874</v>
          </cell>
          <cell r="I39">
            <v>1499.2</v>
          </cell>
        </row>
        <row r="40">
          <cell r="B40">
            <v>0</v>
          </cell>
          <cell r="C40" t="str">
            <v>H2E México SA de CV</v>
          </cell>
          <cell r="D40" t="str">
            <v/>
          </cell>
          <cell r="E40" t="str">
            <v/>
          </cell>
          <cell r="G40">
            <v>0</v>
          </cell>
          <cell r="H40">
            <v>1874</v>
          </cell>
          <cell r="I40">
            <v>1499.2</v>
          </cell>
        </row>
        <row r="41">
          <cell r="B41">
            <v>0</v>
          </cell>
          <cell r="C41" t="str">
            <v>H2E México SA de CV</v>
          </cell>
          <cell r="D41" t="str">
            <v/>
          </cell>
          <cell r="E41" t="str">
            <v/>
          </cell>
          <cell r="G41">
            <v>0</v>
          </cell>
          <cell r="H41">
            <v>1874</v>
          </cell>
          <cell r="I41">
            <v>1499.2</v>
          </cell>
        </row>
        <row r="42">
          <cell r="B42">
            <v>0</v>
          </cell>
          <cell r="C42" t="str">
            <v>H2E México SA de CV</v>
          </cell>
          <cell r="D42" t="str">
            <v/>
          </cell>
          <cell r="E42" t="str">
            <v/>
          </cell>
          <cell r="G42">
            <v>0</v>
          </cell>
          <cell r="H42">
            <v>1874</v>
          </cell>
          <cell r="I42">
            <v>1499.2</v>
          </cell>
        </row>
        <row r="43">
          <cell r="B43">
            <v>0</v>
          </cell>
          <cell r="C43" t="str">
            <v>H2E México SA de CV</v>
          </cell>
          <cell r="D43" t="str">
            <v/>
          </cell>
          <cell r="E43" t="str">
            <v/>
          </cell>
          <cell r="G43">
            <v>0</v>
          </cell>
          <cell r="H43">
            <v>1874</v>
          </cell>
          <cell r="I43">
            <v>1499.2</v>
          </cell>
        </row>
        <row r="44">
          <cell r="B44">
            <v>0</v>
          </cell>
          <cell r="C44" t="str">
            <v>H2E México SA de CV</v>
          </cell>
          <cell r="D44" t="str">
            <v/>
          </cell>
          <cell r="E44" t="str">
            <v/>
          </cell>
          <cell r="G44">
            <v>0</v>
          </cell>
          <cell r="H44">
            <v>1874</v>
          </cell>
          <cell r="I44">
            <v>1499.2</v>
          </cell>
        </row>
        <row r="45">
          <cell r="B45">
            <v>0</v>
          </cell>
          <cell r="C45" t="str">
            <v>H2E México SA de CV</v>
          </cell>
          <cell r="D45" t="str">
            <v/>
          </cell>
          <cell r="E45" t="str">
            <v/>
          </cell>
          <cell r="G45">
            <v>0</v>
          </cell>
          <cell r="H45">
            <v>1874</v>
          </cell>
          <cell r="I45">
            <v>1499.2</v>
          </cell>
        </row>
        <row r="46">
          <cell r="B46">
            <v>0</v>
          </cell>
          <cell r="C46" t="str">
            <v>H2E México SA de CV</v>
          </cell>
          <cell r="D46" t="str">
            <v/>
          </cell>
          <cell r="E46" t="str">
            <v/>
          </cell>
          <cell r="G46">
            <v>0</v>
          </cell>
          <cell r="H46">
            <v>1874</v>
          </cell>
          <cell r="I46">
            <v>1499.2</v>
          </cell>
        </row>
        <row r="47">
          <cell r="B47">
            <v>0</v>
          </cell>
          <cell r="C47" t="str">
            <v>H2E México SA de CV</v>
          </cell>
          <cell r="D47" t="str">
            <v/>
          </cell>
          <cell r="E47" t="str">
            <v/>
          </cell>
          <cell r="G47">
            <v>0</v>
          </cell>
          <cell r="H47">
            <v>1874</v>
          </cell>
          <cell r="I47">
            <v>1499.2</v>
          </cell>
        </row>
        <row r="48">
          <cell r="B48">
            <v>0</v>
          </cell>
          <cell r="C48" t="str">
            <v>H2E México SA de CV</v>
          </cell>
          <cell r="D48" t="str">
            <v/>
          </cell>
          <cell r="E48" t="str">
            <v/>
          </cell>
          <cell r="G48">
            <v>0</v>
          </cell>
          <cell r="H48">
            <v>1874</v>
          </cell>
          <cell r="I48">
            <v>1499.2</v>
          </cell>
        </row>
        <row r="49">
          <cell r="B49">
            <v>0</v>
          </cell>
          <cell r="C49" t="str">
            <v>H2E México SA de CV</v>
          </cell>
          <cell r="D49" t="str">
            <v/>
          </cell>
          <cell r="E49" t="str">
            <v/>
          </cell>
          <cell r="G49">
            <v>0</v>
          </cell>
          <cell r="H49">
            <v>1874</v>
          </cell>
          <cell r="I49">
            <v>1499.2</v>
          </cell>
        </row>
        <row r="50">
          <cell r="B50">
            <v>0</v>
          </cell>
          <cell r="C50" t="str">
            <v>H2E México SA de CV</v>
          </cell>
          <cell r="D50" t="str">
            <v/>
          </cell>
          <cell r="E50" t="str">
            <v/>
          </cell>
          <cell r="G50">
            <v>0</v>
          </cell>
          <cell r="H50">
            <v>1874</v>
          </cell>
          <cell r="I50">
            <v>1499.2</v>
          </cell>
        </row>
        <row r="51">
          <cell r="B51">
            <v>0</v>
          </cell>
          <cell r="C51" t="str">
            <v>H2E México SA de CV</v>
          </cell>
          <cell r="D51" t="str">
            <v/>
          </cell>
          <cell r="E51" t="str">
            <v/>
          </cell>
          <cell r="G51">
            <v>0</v>
          </cell>
          <cell r="H51">
            <v>1874</v>
          </cell>
          <cell r="I51">
            <v>1499.2</v>
          </cell>
        </row>
        <row r="52">
          <cell r="B52">
            <v>0</v>
          </cell>
          <cell r="C52" t="str">
            <v>H2E México SA de CV</v>
          </cell>
          <cell r="D52" t="str">
            <v/>
          </cell>
          <cell r="E52" t="str">
            <v/>
          </cell>
          <cell r="G52">
            <v>0</v>
          </cell>
          <cell r="H52">
            <v>1874</v>
          </cell>
          <cell r="I52">
            <v>1499.2</v>
          </cell>
        </row>
        <row r="53">
          <cell r="B53">
            <v>0</v>
          </cell>
          <cell r="C53" t="str">
            <v>H2E México SA de CV</v>
          </cell>
          <cell r="D53" t="str">
            <v/>
          </cell>
          <cell r="E53" t="str">
            <v/>
          </cell>
          <cell r="G53">
            <v>0</v>
          </cell>
          <cell r="H53">
            <v>1874</v>
          </cell>
          <cell r="I53">
            <v>1499.2</v>
          </cell>
        </row>
        <row r="54">
          <cell r="B54">
            <v>0</v>
          </cell>
          <cell r="C54" t="str">
            <v>H2E México SA de CV</v>
          </cell>
          <cell r="D54" t="str">
            <v/>
          </cell>
          <cell r="E54" t="str">
            <v/>
          </cell>
          <cell r="G54">
            <v>0</v>
          </cell>
          <cell r="H54">
            <v>1874</v>
          </cell>
          <cell r="I54">
            <v>1499.2</v>
          </cell>
        </row>
        <row r="55">
          <cell r="B55">
            <v>0</v>
          </cell>
          <cell r="C55" t="str">
            <v>H2E México SA de CV</v>
          </cell>
          <cell r="D55" t="str">
            <v/>
          </cell>
          <cell r="E55" t="str">
            <v/>
          </cell>
          <cell r="G55">
            <v>0</v>
          </cell>
          <cell r="H55">
            <v>1874</v>
          </cell>
          <cell r="I55">
            <v>1499.2</v>
          </cell>
        </row>
        <row r="56">
          <cell r="B56">
            <v>0</v>
          </cell>
          <cell r="C56" t="str">
            <v>H2E México SA de CV</v>
          </cell>
          <cell r="D56" t="str">
            <v/>
          </cell>
          <cell r="E56" t="str">
            <v/>
          </cell>
          <cell r="G56">
            <v>0</v>
          </cell>
          <cell r="H56">
            <v>1874</v>
          </cell>
          <cell r="I56">
            <v>1499.2</v>
          </cell>
        </row>
        <row r="57">
          <cell r="B57">
            <v>0</v>
          </cell>
          <cell r="C57" t="str">
            <v>H2E México SA de CV</v>
          </cell>
          <cell r="D57" t="str">
            <v/>
          </cell>
          <cell r="E57" t="str">
            <v/>
          </cell>
          <cell r="G57">
            <v>0</v>
          </cell>
          <cell r="H57">
            <v>1874</v>
          </cell>
          <cell r="I57">
            <v>1499.2</v>
          </cell>
        </row>
        <row r="58">
          <cell r="B58">
            <v>0</v>
          </cell>
          <cell r="C58" t="str">
            <v>H2E México SA de CV</v>
          </cell>
          <cell r="D58" t="str">
            <v/>
          </cell>
          <cell r="E58" t="str">
            <v/>
          </cell>
          <cell r="G58">
            <v>0</v>
          </cell>
          <cell r="H58">
            <v>1874</v>
          </cell>
          <cell r="I58">
            <v>1499.2</v>
          </cell>
        </row>
        <row r="59">
          <cell r="B59">
            <v>0</v>
          </cell>
          <cell r="C59" t="str">
            <v>H2E México SA de CV</v>
          </cell>
          <cell r="D59" t="str">
            <v/>
          </cell>
          <cell r="E59" t="str">
            <v/>
          </cell>
          <cell r="G59">
            <v>0</v>
          </cell>
          <cell r="H59">
            <v>1874</v>
          </cell>
          <cell r="I59">
            <v>1499.2</v>
          </cell>
        </row>
        <row r="60">
          <cell r="B60">
            <v>0</v>
          </cell>
          <cell r="C60" t="str">
            <v>H2E México SA de CV</v>
          </cell>
          <cell r="D60" t="str">
            <v/>
          </cell>
          <cell r="E60" t="str">
            <v/>
          </cell>
          <cell r="G60">
            <v>0</v>
          </cell>
          <cell r="H60">
            <v>1874</v>
          </cell>
          <cell r="I60">
            <v>1499.2</v>
          </cell>
        </row>
        <row r="61">
          <cell r="B61">
            <v>0</v>
          </cell>
          <cell r="C61" t="str">
            <v>H2E México SA de CV</v>
          </cell>
          <cell r="D61" t="str">
            <v/>
          </cell>
          <cell r="E61" t="str">
            <v/>
          </cell>
          <cell r="G61">
            <v>0</v>
          </cell>
          <cell r="H61">
            <v>1874</v>
          </cell>
          <cell r="I61">
            <v>1499.2</v>
          </cell>
        </row>
        <row r="62">
          <cell r="B62">
            <v>0</v>
          </cell>
          <cell r="C62" t="str">
            <v>H2E México SA de CV</v>
          </cell>
          <cell r="D62" t="str">
            <v/>
          </cell>
          <cell r="E62" t="str">
            <v/>
          </cell>
          <cell r="G62">
            <v>0</v>
          </cell>
          <cell r="H62">
            <v>1874</v>
          </cell>
          <cell r="I62">
            <v>1499.2</v>
          </cell>
        </row>
        <row r="63">
          <cell r="B63">
            <v>0</v>
          </cell>
          <cell r="C63" t="str">
            <v>H2E México SA de CV</v>
          </cell>
          <cell r="D63" t="str">
            <v/>
          </cell>
          <cell r="E63" t="str">
            <v/>
          </cell>
          <cell r="G63">
            <v>0</v>
          </cell>
          <cell r="H63">
            <v>1874</v>
          </cell>
          <cell r="I63">
            <v>1499.2</v>
          </cell>
        </row>
        <row r="64">
          <cell r="B64">
            <v>0</v>
          </cell>
          <cell r="C64" t="str">
            <v>H2E México SA de CV</v>
          </cell>
          <cell r="D64" t="str">
            <v/>
          </cell>
          <cell r="E64" t="str">
            <v/>
          </cell>
          <cell r="G64">
            <v>0</v>
          </cell>
          <cell r="H64">
            <v>1874</v>
          </cell>
          <cell r="I64">
            <v>1499.2</v>
          </cell>
        </row>
        <row r="65">
          <cell r="B65">
            <v>0</v>
          </cell>
          <cell r="C65" t="str">
            <v>H2E México SA de CV</v>
          </cell>
          <cell r="D65" t="str">
            <v/>
          </cell>
          <cell r="E65" t="str">
            <v/>
          </cell>
          <cell r="G65">
            <v>0</v>
          </cell>
          <cell r="H65">
            <v>1874</v>
          </cell>
          <cell r="I65">
            <v>1499.2</v>
          </cell>
        </row>
        <row r="66">
          <cell r="B66">
            <v>0</v>
          </cell>
          <cell r="C66" t="str">
            <v>H2E México SA de CV</v>
          </cell>
          <cell r="D66" t="str">
            <v/>
          </cell>
          <cell r="E66" t="str">
            <v/>
          </cell>
          <cell r="G66">
            <v>0</v>
          </cell>
          <cell r="H66">
            <v>1874</v>
          </cell>
          <cell r="I66">
            <v>1499.2</v>
          </cell>
        </row>
        <row r="67">
          <cell r="B67">
            <v>0</v>
          </cell>
          <cell r="C67" t="str">
            <v>H2E México SA de CV</v>
          </cell>
          <cell r="D67" t="str">
            <v/>
          </cell>
          <cell r="E67" t="str">
            <v/>
          </cell>
          <cell r="G67">
            <v>0</v>
          </cell>
          <cell r="H67">
            <v>1874</v>
          </cell>
          <cell r="I67">
            <v>1499.2</v>
          </cell>
        </row>
        <row r="68">
          <cell r="B68">
            <v>0</v>
          </cell>
          <cell r="C68" t="str">
            <v>H2E México SA de CV</v>
          </cell>
          <cell r="D68" t="str">
            <v/>
          </cell>
          <cell r="E68" t="str">
            <v/>
          </cell>
          <cell r="G68">
            <v>0</v>
          </cell>
          <cell r="H68">
            <v>1874</v>
          </cell>
          <cell r="I68">
            <v>1499.2</v>
          </cell>
        </row>
        <row r="69">
          <cell r="B69">
            <v>0</v>
          </cell>
          <cell r="C69" t="str">
            <v>H2E México SA de CV</v>
          </cell>
          <cell r="D69" t="str">
            <v/>
          </cell>
          <cell r="E69" t="str">
            <v/>
          </cell>
          <cell r="G69">
            <v>0</v>
          </cell>
          <cell r="H69">
            <v>1874</v>
          </cell>
          <cell r="I69">
            <v>1499.2</v>
          </cell>
        </row>
        <row r="70">
          <cell r="B70">
            <v>0</v>
          </cell>
          <cell r="C70" t="str">
            <v>H2E México SA de CV</v>
          </cell>
          <cell r="D70" t="str">
            <v/>
          </cell>
          <cell r="E70" t="str">
            <v/>
          </cell>
          <cell r="G70">
            <v>0</v>
          </cell>
          <cell r="H70">
            <v>1874</v>
          </cell>
          <cell r="I70">
            <v>1499.2</v>
          </cell>
        </row>
        <row r="71">
          <cell r="B71">
            <v>0</v>
          </cell>
          <cell r="C71" t="str">
            <v>H2E México SA de CV</v>
          </cell>
          <cell r="D71" t="str">
            <v/>
          </cell>
          <cell r="E71" t="str">
            <v/>
          </cell>
          <cell r="G71">
            <v>0</v>
          </cell>
          <cell r="H71">
            <v>1874</v>
          </cell>
          <cell r="I71">
            <v>1499.2</v>
          </cell>
        </row>
        <row r="72">
          <cell r="B72">
            <v>0</v>
          </cell>
          <cell r="C72" t="str">
            <v>H2E México SA de CV</v>
          </cell>
          <cell r="D72" t="str">
            <v/>
          </cell>
          <cell r="E72" t="str">
            <v/>
          </cell>
          <cell r="G72">
            <v>0</v>
          </cell>
          <cell r="H72">
            <v>1874</v>
          </cell>
          <cell r="I72">
            <v>1499.2</v>
          </cell>
        </row>
        <row r="73">
          <cell r="B73">
            <v>0</v>
          </cell>
          <cell r="C73" t="str">
            <v>H2E México SA de CV</v>
          </cell>
          <cell r="D73" t="str">
            <v/>
          </cell>
          <cell r="E73" t="str">
            <v/>
          </cell>
          <cell r="G73">
            <v>0</v>
          </cell>
          <cell r="H73">
            <v>1874</v>
          </cell>
          <cell r="I73">
            <v>1499.2</v>
          </cell>
        </row>
        <row r="74">
          <cell r="B74">
            <v>0</v>
          </cell>
          <cell r="C74" t="str">
            <v>H2E México SA de CV</v>
          </cell>
          <cell r="D74" t="str">
            <v/>
          </cell>
          <cell r="E74" t="str">
            <v/>
          </cell>
          <cell r="G74">
            <v>0</v>
          </cell>
          <cell r="H74">
            <v>1874</v>
          </cell>
          <cell r="I74">
            <v>1499.2</v>
          </cell>
        </row>
        <row r="75">
          <cell r="B75">
            <v>0</v>
          </cell>
          <cell r="C75" t="str">
            <v>H2E México SA de CV</v>
          </cell>
          <cell r="D75" t="str">
            <v/>
          </cell>
          <cell r="E75" t="str">
            <v/>
          </cell>
          <cell r="G75">
            <v>0</v>
          </cell>
          <cell r="H75">
            <v>1874</v>
          </cell>
          <cell r="I75">
            <v>1499.2</v>
          </cell>
        </row>
        <row r="76">
          <cell r="B76">
            <v>0</v>
          </cell>
          <cell r="C76" t="str">
            <v>H2E México SA de CV</v>
          </cell>
          <cell r="D76" t="str">
            <v/>
          </cell>
          <cell r="E76" t="str">
            <v/>
          </cell>
          <cell r="G76">
            <v>0</v>
          </cell>
          <cell r="H76">
            <v>1874</v>
          </cell>
          <cell r="I76">
            <v>1499.2</v>
          </cell>
        </row>
        <row r="77">
          <cell r="B77">
            <v>0</v>
          </cell>
          <cell r="C77" t="str">
            <v>H2E México SA de CV</v>
          </cell>
          <cell r="D77" t="str">
            <v/>
          </cell>
          <cell r="E77" t="str">
            <v/>
          </cell>
          <cell r="G77">
            <v>0</v>
          </cell>
          <cell r="H77">
            <v>1874</v>
          </cell>
          <cell r="I77">
            <v>1499.2</v>
          </cell>
        </row>
        <row r="78">
          <cell r="B78">
            <v>0</v>
          </cell>
          <cell r="C78" t="str">
            <v>H2E México SA de CV</v>
          </cell>
          <cell r="D78" t="str">
            <v/>
          </cell>
          <cell r="E78" t="str">
            <v/>
          </cell>
          <cell r="G78">
            <v>0</v>
          </cell>
          <cell r="H78">
            <v>1874</v>
          </cell>
          <cell r="I78">
            <v>1499.2</v>
          </cell>
        </row>
        <row r="79">
          <cell r="B79">
            <v>0</v>
          </cell>
          <cell r="C79" t="str">
            <v>H2E México SA de CV</v>
          </cell>
          <cell r="D79" t="str">
            <v/>
          </cell>
          <cell r="E79" t="str">
            <v/>
          </cell>
          <cell r="G79">
            <v>0</v>
          </cell>
          <cell r="H79">
            <v>1874</v>
          </cell>
          <cell r="I79">
            <v>1499.2</v>
          </cell>
        </row>
        <row r="80">
          <cell r="B80">
            <v>0</v>
          </cell>
          <cell r="C80" t="str">
            <v>H2E México SA de CV</v>
          </cell>
          <cell r="D80" t="str">
            <v/>
          </cell>
          <cell r="E80" t="str">
            <v/>
          </cell>
          <cell r="G80">
            <v>0</v>
          </cell>
          <cell r="H80">
            <v>1874</v>
          </cell>
          <cell r="I80">
            <v>1499.2</v>
          </cell>
        </row>
        <row r="81">
          <cell r="B81">
            <v>0</v>
          </cell>
          <cell r="C81" t="str">
            <v>H2E México SA de CV</v>
          </cell>
          <cell r="D81" t="str">
            <v/>
          </cell>
          <cell r="E81" t="str">
            <v/>
          </cell>
          <cell r="G81">
            <v>0</v>
          </cell>
          <cell r="H81">
            <v>1874</v>
          </cell>
          <cell r="I81">
            <v>1499.2</v>
          </cell>
        </row>
        <row r="82">
          <cell r="B82">
            <v>0</v>
          </cell>
          <cell r="C82" t="str">
            <v>H2E México SA de CV</v>
          </cell>
          <cell r="D82" t="str">
            <v/>
          </cell>
          <cell r="E82" t="str">
            <v/>
          </cell>
          <cell r="G82">
            <v>0</v>
          </cell>
          <cell r="H82">
            <v>1874</v>
          </cell>
          <cell r="I82">
            <v>1499.2</v>
          </cell>
        </row>
        <row r="83">
          <cell r="B83">
            <v>0</v>
          </cell>
          <cell r="C83" t="str">
            <v>H2E México SA de CV</v>
          </cell>
          <cell r="D83" t="str">
            <v/>
          </cell>
          <cell r="E83" t="str">
            <v/>
          </cell>
          <cell r="G83">
            <v>0</v>
          </cell>
          <cell r="H83">
            <v>1874</v>
          </cell>
          <cell r="I83">
            <v>1499.2</v>
          </cell>
        </row>
        <row r="84">
          <cell r="B84">
            <v>0</v>
          </cell>
          <cell r="C84" t="str">
            <v>H2E México SA de CV</v>
          </cell>
          <cell r="D84" t="str">
            <v/>
          </cell>
          <cell r="E84" t="str">
            <v/>
          </cell>
          <cell r="G84">
            <v>0</v>
          </cell>
          <cell r="H84">
            <v>1874</v>
          </cell>
          <cell r="I84">
            <v>1499.2</v>
          </cell>
        </row>
        <row r="85">
          <cell r="B85">
            <v>0</v>
          </cell>
          <cell r="C85" t="str">
            <v>H2E México SA de CV</v>
          </cell>
          <cell r="D85" t="str">
            <v/>
          </cell>
          <cell r="E85" t="str">
            <v/>
          </cell>
          <cell r="G85">
            <v>0</v>
          </cell>
          <cell r="H85">
            <v>1874</v>
          </cell>
          <cell r="I85">
            <v>1499.2</v>
          </cell>
        </row>
        <row r="86">
          <cell r="B86">
            <v>0</v>
          </cell>
          <cell r="C86" t="str">
            <v>H2E México SA de CV</v>
          </cell>
          <cell r="D86" t="str">
            <v/>
          </cell>
          <cell r="E86" t="str">
            <v/>
          </cell>
          <cell r="G86">
            <v>0</v>
          </cell>
          <cell r="H86">
            <v>1874</v>
          </cell>
          <cell r="I86">
            <v>1499.2</v>
          </cell>
        </row>
        <row r="87">
          <cell r="B87">
            <v>0</v>
          </cell>
          <cell r="C87" t="str">
            <v>H2E México SA de CV</v>
          </cell>
          <cell r="D87" t="str">
            <v/>
          </cell>
          <cell r="E87" t="str">
            <v/>
          </cell>
          <cell r="G87">
            <v>0</v>
          </cell>
          <cell r="H87">
            <v>1874</v>
          </cell>
          <cell r="I87">
            <v>1499.2</v>
          </cell>
        </row>
        <row r="88">
          <cell r="B88">
            <v>0</v>
          </cell>
          <cell r="C88" t="str">
            <v>H2E México SA de CV</v>
          </cell>
          <cell r="D88" t="str">
            <v/>
          </cell>
          <cell r="E88" t="str">
            <v/>
          </cell>
          <cell r="G88">
            <v>0</v>
          </cell>
          <cell r="H88">
            <v>1874</v>
          </cell>
          <cell r="I88">
            <v>1499.2</v>
          </cell>
        </row>
        <row r="89">
          <cell r="B89">
            <v>0</v>
          </cell>
          <cell r="C89" t="str">
            <v>H2E México SA de CV</v>
          </cell>
          <cell r="D89" t="str">
            <v/>
          </cell>
          <cell r="E89" t="str">
            <v/>
          </cell>
          <cell r="G89">
            <v>0</v>
          </cell>
          <cell r="H89">
            <v>1874</v>
          </cell>
          <cell r="I89">
            <v>1499.2</v>
          </cell>
        </row>
        <row r="90">
          <cell r="B90">
            <v>0</v>
          </cell>
          <cell r="C90" t="str">
            <v>H2E México SA de CV</v>
          </cell>
          <cell r="D90" t="str">
            <v/>
          </cell>
          <cell r="E90" t="str">
            <v/>
          </cell>
          <cell r="G90">
            <v>0</v>
          </cell>
          <cell r="H90">
            <v>1874</v>
          </cell>
          <cell r="I90">
            <v>1499.2</v>
          </cell>
        </row>
        <row r="106">
          <cell r="B106" t="str">
            <v>Total</v>
          </cell>
          <cell r="D106">
            <v>0</v>
          </cell>
          <cell r="E106">
            <v>0</v>
          </cell>
          <cell r="G106">
            <v>0</v>
          </cell>
        </row>
        <row r="108">
          <cell r="B108" t="str">
            <v>Semana 44</v>
          </cell>
          <cell r="D108" t="str">
            <v>Bins</v>
          </cell>
          <cell r="E108" t="str">
            <v>Caja</v>
          </cell>
          <cell r="G108" t="str">
            <v>Cajas emp</v>
          </cell>
        </row>
        <row r="116">
          <cell r="B116" t="str">
            <v>Total</v>
          </cell>
          <cell r="D116">
            <v>0</v>
          </cell>
          <cell r="E116">
            <v>0</v>
          </cell>
          <cell r="G116">
            <v>0</v>
          </cell>
        </row>
        <row r="118">
          <cell r="B118" t="str">
            <v>Semana 45</v>
          </cell>
          <cell r="D118" t="str">
            <v>Bins</v>
          </cell>
          <cell r="E118" t="str">
            <v>Caja</v>
          </cell>
          <cell r="G118" t="str">
            <v>Cajas emp</v>
          </cell>
        </row>
        <row r="126">
          <cell r="B126" t="str">
            <v>Total</v>
          </cell>
          <cell r="D126">
            <v>0</v>
          </cell>
          <cell r="E126">
            <v>0</v>
          </cell>
          <cell r="G126">
            <v>0</v>
          </cell>
        </row>
        <row r="129">
          <cell r="D129" t="str">
            <v>Cajas Semanales</v>
          </cell>
        </row>
        <row r="130">
          <cell r="D130" t="str">
            <v>Semana</v>
          </cell>
          <cell r="E130" t="str">
            <v>Cajas</v>
          </cell>
          <cell r="G130" t="str">
            <v>x ha</v>
          </cell>
        </row>
        <row r="131">
          <cell r="D131">
            <v>1</v>
          </cell>
          <cell r="E131" t="e">
            <v>#REF!</v>
          </cell>
          <cell r="G131" t="e">
            <v>#REF!</v>
          </cell>
        </row>
        <row r="132">
          <cell r="D132">
            <v>2</v>
          </cell>
          <cell r="E132" t="e">
            <v>#REF!</v>
          </cell>
          <cell r="G132" t="e">
            <v>#REF!</v>
          </cell>
        </row>
        <row r="133">
          <cell r="D133">
            <v>3</v>
          </cell>
          <cell r="E133" t="e">
            <v>#REF!</v>
          </cell>
          <cell r="G133" t="e">
            <v>#REF!</v>
          </cell>
        </row>
        <row r="134">
          <cell r="D134">
            <v>4</v>
          </cell>
          <cell r="E134" t="e">
            <v>#REF!</v>
          </cell>
          <cell r="G134" t="e">
            <v>#REF!</v>
          </cell>
        </row>
        <row r="135">
          <cell r="D135">
            <v>5</v>
          </cell>
          <cell r="E135" t="e">
            <v>#REF!</v>
          </cell>
          <cell r="G135" t="e">
            <v>#REF!</v>
          </cell>
        </row>
        <row r="136">
          <cell r="D136">
            <v>6</v>
          </cell>
          <cell r="E136" t="e">
            <v>#REF!</v>
          </cell>
          <cell r="G136" t="e">
            <v>#REF!</v>
          </cell>
        </row>
        <row r="137">
          <cell r="D137">
            <v>7</v>
          </cell>
          <cell r="E137" t="e">
            <v>#REF!</v>
          </cell>
          <cell r="G137" t="e">
            <v>#REF!</v>
          </cell>
        </row>
        <row r="138">
          <cell r="D138">
            <v>8</v>
          </cell>
          <cell r="E138" t="e">
            <v>#REF!</v>
          </cell>
          <cell r="G138" t="e">
            <v>#REF!</v>
          </cell>
        </row>
        <row r="139">
          <cell r="D139">
            <v>9</v>
          </cell>
          <cell r="E139" t="e">
            <v>#REF!</v>
          </cell>
          <cell r="G139" t="e">
            <v>#REF!</v>
          </cell>
        </row>
        <row r="140">
          <cell r="D140">
            <v>10</v>
          </cell>
          <cell r="E140" t="e">
            <v>#REF!</v>
          </cell>
          <cell r="G140" t="e">
            <v>#REF!</v>
          </cell>
        </row>
        <row r="141">
          <cell r="D141">
            <v>11</v>
          </cell>
          <cell r="E141" t="e">
            <v>#REF!</v>
          </cell>
          <cell r="G141" t="e">
            <v>#REF!</v>
          </cell>
        </row>
        <row r="142">
          <cell r="D142">
            <v>12</v>
          </cell>
          <cell r="E142" t="e">
            <v>#REF!</v>
          </cell>
          <cell r="G142" t="e">
            <v>#REF!</v>
          </cell>
        </row>
        <row r="143">
          <cell r="D143">
            <v>13</v>
          </cell>
          <cell r="E143">
            <v>0</v>
          </cell>
          <cell r="G143">
            <v>0</v>
          </cell>
        </row>
        <row r="144">
          <cell r="D144">
            <v>14</v>
          </cell>
          <cell r="E144">
            <v>0</v>
          </cell>
          <cell r="G144">
            <v>0</v>
          </cell>
        </row>
        <row r="145">
          <cell r="G145" t="e">
            <v>#REF!</v>
          </cell>
        </row>
      </sheetData>
      <sheetData sheetId="92"/>
      <sheetData sheetId="9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F087611319785EAE" itemId="F087611319785EAE!s22f961c7922f414d9901c4d6434e7d9b">
      <xxl21:absoluteUrl r:id="rId2"/>
      <xxl21:relativeUrl r:id="rId3"/>
    </xxl21:alternateUrls>
    <sheetNames>
      <sheetName val="Empaque (1)"/>
      <sheetName val="Empaque (2)"/>
      <sheetName val="Empaque (3)"/>
      <sheetName val="Empaque (4)"/>
      <sheetName val="Empaque (5)"/>
      <sheetName val="Empaque (6)"/>
      <sheetName val="Empaque (7)"/>
      <sheetName val="Empaque (8)"/>
      <sheetName val="Empaque (9)"/>
      <sheetName val="Hoja2"/>
      <sheetName val="Empaque (10)"/>
      <sheetName val="Empaque (11)"/>
      <sheetName val="Empaque (12)"/>
      <sheetName val="Empaque (13)"/>
      <sheetName val="Empaque (14)"/>
      <sheetName val="Empaque (15)"/>
      <sheetName val="Empaque (16)"/>
      <sheetName val="Empaque (17)"/>
      <sheetName val="Empaque (18)"/>
      <sheetName val="Empaque (19)"/>
      <sheetName val="Empaque (20)"/>
      <sheetName val="Empaque (21)"/>
      <sheetName val="Empaque (22)"/>
      <sheetName val="Empaque (23)"/>
      <sheetName val="Empaque (24)"/>
      <sheetName val="Empaque (25)"/>
      <sheetName val="Empaque (26)"/>
      <sheetName val="Empaque (27)"/>
      <sheetName val="Empaque (28)"/>
      <sheetName val="Empaque (29)"/>
      <sheetName val="Empaque (30)"/>
      <sheetName val="Empaque (31)"/>
      <sheetName val="Empaque (32)"/>
      <sheetName val="Empaque (33)"/>
      <sheetName val="Empaque (34)"/>
      <sheetName val="Empaque (35)"/>
      <sheetName val="Empaque (36)"/>
      <sheetName val="Empaque (37)"/>
      <sheetName val="Empaque (38)"/>
      <sheetName val="Empaque (39)"/>
      <sheetName val="Empaque (40)"/>
      <sheetName val="Empaque (41)"/>
      <sheetName val="Empaque (42)"/>
      <sheetName val="Empaque (43)"/>
      <sheetName val="Empaque (44)"/>
      <sheetName val="Empaque (45)"/>
      <sheetName val="Empaque (46)"/>
      <sheetName val="Empaque (47)"/>
      <sheetName val="Empaque (48)"/>
      <sheetName val="Empaque (49)"/>
      <sheetName val="Empaque (50)"/>
      <sheetName val="Empaque (51)"/>
      <sheetName val="Empaque (52)"/>
      <sheetName val="Empaque (53)"/>
      <sheetName val="Empaque (54)"/>
      <sheetName val="Empaque (55)"/>
      <sheetName val="Empaque (56)"/>
      <sheetName val="Empaque (57)"/>
      <sheetName val="Empaque (58)"/>
      <sheetName val="Empaque (59)"/>
      <sheetName val="Empaque (60)"/>
      <sheetName val="Empaque (61)"/>
      <sheetName val="Empaque (62)"/>
      <sheetName val="Empaque (63)"/>
      <sheetName val="Empaque (64)"/>
      <sheetName val="Empaque (65)"/>
      <sheetName val="Empaque (66)"/>
      <sheetName val="Empaque (67)"/>
      <sheetName val="Empaque (68)"/>
      <sheetName val="Empaque (69)"/>
      <sheetName val="p PDF"/>
      <sheetName val="Totales"/>
      <sheetName val="Corte"/>
      <sheetName val="Corte x Var"/>
      <sheetName val="Tamaños"/>
      <sheetName val="Cajas x Semana"/>
      <sheetName val="Gráfica Producción"/>
      <sheetName val="Listado"/>
      <sheetName val="Empaque (70)"/>
      <sheetName val="Hoja1"/>
      <sheetName val="Costo Maq "/>
      <sheetName val="Lista Maq"/>
      <sheetName val="Cajas Semana"/>
      <sheetName val="Cajas Acum x Fecha"/>
      <sheetName val="Precios Maquila"/>
      <sheetName val="Conteos Tamañ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>
        <row r="10">
          <cell r="P10">
            <v>45772</v>
          </cell>
          <cell r="Q10">
            <v>26.142857142857142</v>
          </cell>
        </row>
        <row r="11">
          <cell r="P11">
            <v>45773</v>
          </cell>
          <cell r="Q11">
            <v>26.142857142857142</v>
          </cell>
        </row>
        <row r="12">
          <cell r="P12">
            <v>45774</v>
          </cell>
          <cell r="Q12">
            <v>26.142857142857142</v>
          </cell>
        </row>
        <row r="13">
          <cell r="P13">
            <v>45775</v>
          </cell>
          <cell r="Q13">
            <v>65.571428571428569</v>
          </cell>
        </row>
        <row r="14">
          <cell r="P14">
            <v>45776</v>
          </cell>
          <cell r="Q14">
            <v>65.571428571428569</v>
          </cell>
        </row>
        <row r="15">
          <cell r="P15">
            <v>45777</v>
          </cell>
          <cell r="Q15">
            <v>97.428571428571431</v>
          </cell>
        </row>
        <row r="16">
          <cell r="P16">
            <v>45778</v>
          </cell>
          <cell r="Q16">
            <v>99.285714285714292</v>
          </cell>
        </row>
        <row r="17">
          <cell r="P17">
            <v>45779</v>
          </cell>
          <cell r="Q17">
            <v>156.42857142857142</v>
          </cell>
        </row>
        <row r="18">
          <cell r="P18">
            <v>45780</v>
          </cell>
          <cell r="Q18">
            <v>156.42857142857142</v>
          </cell>
        </row>
        <row r="19">
          <cell r="P19">
            <v>45781</v>
          </cell>
          <cell r="Q19">
            <v>156.42857142857142</v>
          </cell>
        </row>
        <row r="20">
          <cell r="P20">
            <v>45782</v>
          </cell>
          <cell r="Q20">
            <v>266.14285714285717</v>
          </cell>
        </row>
        <row r="21">
          <cell r="P21">
            <v>45783</v>
          </cell>
          <cell r="Q21">
            <v>266.14285714285717</v>
          </cell>
        </row>
        <row r="22">
          <cell r="P22">
            <v>45784</v>
          </cell>
          <cell r="Q22">
            <v>421.42857142857144</v>
          </cell>
        </row>
        <row r="23">
          <cell r="P23">
            <v>45785</v>
          </cell>
          <cell r="Q23">
            <v>421.42857142857144</v>
          </cell>
        </row>
        <row r="24">
          <cell r="P24">
            <v>45786</v>
          </cell>
          <cell r="Q24">
            <v>597.14285714285711</v>
          </cell>
        </row>
        <row r="25">
          <cell r="P25">
            <v>45787</v>
          </cell>
          <cell r="Q25">
            <v>601.57142857142856</v>
          </cell>
        </row>
        <row r="26">
          <cell r="P26">
            <v>45788</v>
          </cell>
          <cell r="Q26">
            <v>601.57142857142856</v>
          </cell>
        </row>
        <row r="27">
          <cell r="P27">
            <v>45789</v>
          </cell>
          <cell r="Q27">
            <v>827.28571428571433</v>
          </cell>
        </row>
        <row r="28">
          <cell r="P28">
            <v>45790</v>
          </cell>
          <cell r="Q28">
            <v>862.28571428571433</v>
          </cell>
        </row>
        <row r="29">
          <cell r="P29">
            <v>45791</v>
          </cell>
          <cell r="Q29">
            <v>1125</v>
          </cell>
        </row>
        <row r="30">
          <cell r="P30">
            <v>45792</v>
          </cell>
          <cell r="Q30">
            <v>1125</v>
          </cell>
        </row>
        <row r="31">
          <cell r="P31">
            <v>45793</v>
          </cell>
          <cell r="Q31">
            <v>1412.4285714285713</v>
          </cell>
        </row>
        <row r="32">
          <cell r="P32">
            <v>45794</v>
          </cell>
          <cell r="Q32">
            <v>1564.2857142857142</v>
          </cell>
        </row>
        <row r="33">
          <cell r="P33">
            <v>45795</v>
          </cell>
          <cell r="Q33">
            <v>1564.2857142857142</v>
          </cell>
        </row>
        <row r="34">
          <cell r="P34">
            <v>45796</v>
          </cell>
          <cell r="Q34">
            <v>1901.7142857142858</v>
          </cell>
        </row>
        <row r="35">
          <cell r="P35">
            <v>45797</v>
          </cell>
          <cell r="Q35">
            <v>1990.7142857142858</v>
          </cell>
        </row>
        <row r="36">
          <cell r="P36">
            <v>45798</v>
          </cell>
          <cell r="Q36">
            <v>2270.5714285714284</v>
          </cell>
        </row>
        <row r="37">
          <cell r="P37">
            <v>45799</v>
          </cell>
          <cell r="Q37">
            <v>2435.7142857142858</v>
          </cell>
        </row>
        <row r="38">
          <cell r="P38">
            <v>45800</v>
          </cell>
          <cell r="Q38">
            <v>2642.7142857142858</v>
          </cell>
        </row>
        <row r="39">
          <cell r="P39">
            <v>45801</v>
          </cell>
          <cell r="Q39">
            <v>2908.8571428571427</v>
          </cell>
        </row>
        <row r="40">
          <cell r="P40">
            <v>45802</v>
          </cell>
          <cell r="Q40">
            <v>2908.8571428571427</v>
          </cell>
        </row>
        <row r="41">
          <cell r="P41">
            <v>45803</v>
          </cell>
          <cell r="Q41">
            <v>3175</v>
          </cell>
        </row>
        <row r="42">
          <cell r="P42">
            <v>45804</v>
          </cell>
          <cell r="Q42">
            <v>3434.4285714285716</v>
          </cell>
        </row>
        <row r="43">
          <cell r="P43">
            <v>45805</v>
          </cell>
          <cell r="Q43">
            <v>3631.8571428571427</v>
          </cell>
        </row>
        <row r="44">
          <cell r="P44">
            <v>45806</v>
          </cell>
          <cell r="Q44">
            <v>3805.2857142857142</v>
          </cell>
        </row>
        <row r="45">
          <cell r="P45">
            <v>45807</v>
          </cell>
          <cell r="Q45">
            <v>4151.4285714285716</v>
          </cell>
        </row>
        <row r="46">
          <cell r="P46">
            <v>45808</v>
          </cell>
          <cell r="Q46">
            <v>4433</v>
          </cell>
        </row>
        <row r="47">
          <cell r="P47">
            <v>45809</v>
          </cell>
          <cell r="Q47">
            <v>4433</v>
          </cell>
        </row>
        <row r="48">
          <cell r="P48">
            <v>45810</v>
          </cell>
          <cell r="Q48">
            <v>4681.5714285714284</v>
          </cell>
        </row>
        <row r="49">
          <cell r="P49">
            <v>45811</v>
          </cell>
          <cell r="Q49">
            <v>4943.5714285714284</v>
          </cell>
        </row>
        <row r="50">
          <cell r="P50">
            <v>45812</v>
          </cell>
          <cell r="Q50">
            <v>5168.8571428571431</v>
          </cell>
        </row>
        <row r="51">
          <cell r="P51">
            <v>45813</v>
          </cell>
          <cell r="Q51">
            <v>5342.4285714285716</v>
          </cell>
        </row>
        <row r="52">
          <cell r="P52">
            <v>45814</v>
          </cell>
          <cell r="Q52">
            <v>5430.7142857142853</v>
          </cell>
        </row>
        <row r="53">
          <cell r="P53">
            <v>45815</v>
          </cell>
          <cell r="Q53">
            <v>5721.1428571428569</v>
          </cell>
        </row>
        <row r="54">
          <cell r="P54">
            <v>45816</v>
          </cell>
          <cell r="Q54">
            <v>5721.1428571428569</v>
          </cell>
        </row>
        <row r="55">
          <cell r="P55">
            <v>45817</v>
          </cell>
          <cell r="Q55">
            <v>5986.7142857142853</v>
          </cell>
        </row>
        <row r="56">
          <cell r="P56">
            <v>45818</v>
          </cell>
          <cell r="Q56">
            <v>6196.4285714285716</v>
          </cell>
        </row>
        <row r="57">
          <cell r="P57">
            <v>45819</v>
          </cell>
          <cell r="Q57">
            <v>6430.5714285714284</v>
          </cell>
        </row>
        <row r="58">
          <cell r="P58">
            <v>45820</v>
          </cell>
          <cell r="Q58">
            <v>6582.7142857142853</v>
          </cell>
        </row>
        <row r="59">
          <cell r="P59">
            <v>45821</v>
          </cell>
          <cell r="Q59">
            <v>6708.5714285714284</v>
          </cell>
        </row>
        <row r="60">
          <cell r="P60">
            <v>45822</v>
          </cell>
          <cell r="Q60">
            <v>6887.7142857142853</v>
          </cell>
        </row>
        <row r="61">
          <cell r="P61">
            <v>45823</v>
          </cell>
          <cell r="Q61">
            <v>6887.7142857142853</v>
          </cell>
        </row>
        <row r="62">
          <cell r="P62">
            <v>45824</v>
          </cell>
          <cell r="Q62">
            <v>7081.7142857142853</v>
          </cell>
        </row>
        <row r="63">
          <cell r="P63">
            <v>45825</v>
          </cell>
          <cell r="Q63">
            <v>7223.4285714285716</v>
          </cell>
        </row>
        <row r="64">
          <cell r="P64">
            <v>45826</v>
          </cell>
          <cell r="Q64">
            <v>7308.5714285714284</v>
          </cell>
        </row>
        <row r="65">
          <cell r="P65">
            <v>45827</v>
          </cell>
          <cell r="Q65">
            <v>7350.5714285714284</v>
          </cell>
        </row>
        <row r="66">
          <cell r="P66">
            <v>45828</v>
          </cell>
          <cell r="Q66">
            <v>7350.5714285714284</v>
          </cell>
        </row>
        <row r="67">
          <cell r="P67">
            <v>45829</v>
          </cell>
          <cell r="Q67">
            <v>7495.7142857142853</v>
          </cell>
        </row>
        <row r="68">
          <cell r="P68">
            <v>45830</v>
          </cell>
          <cell r="Q68">
            <v>7495.7142857142853</v>
          </cell>
        </row>
        <row r="69">
          <cell r="P69">
            <v>45831</v>
          </cell>
          <cell r="Q69">
            <v>7495.7142857142853</v>
          </cell>
        </row>
        <row r="70">
          <cell r="P70">
            <v>45832</v>
          </cell>
          <cell r="Q70">
            <v>7577.1428571428569</v>
          </cell>
        </row>
        <row r="71">
          <cell r="P71">
            <v>45833</v>
          </cell>
          <cell r="Q71">
            <v>7655.1428571428569</v>
          </cell>
        </row>
        <row r="72">
          <cell r="P72">
            <v>45834</v>
          </cell>
          <cell r="Q72">
            <v>7655.1428571428569</v>
          </cell>
        </row>
        <row r="73">
          <cell r="P73">
            <v>45835</v>
          </cell>
          <cell r="Q73">
            <v>7655.1428571428569</v>
          </cell>
        </row>
        <row r="74">
          <cell r="P74">
            <v>45836</v>
          </cell>
          <cell r="Q74">
            <v>7655.1428571428569</v>
          </cell>
        </row>
        <row r="75">
          <cell r="P75">
            <v>45837</v>
          </cell>
          <cell r="Q75">
            <v>7655.1428571428569</v>
          </cell>
        </row>
        <row r="76">
          <cell r="P76">
            <v>45838</v>
          </cell>
          <cell r="Q76">
            <v>7655.1428571428569</v>
          </cell>
        </row>
        <row r="77">
          <cell r="P77">
            <v>45839</v>
          </cell>
          <cell r="Q77">
            <v>7655.1428571428569</v>
          </cell>
        </row>
        <row r="78">
          <cell r="P78">
            <v>45840</v>
          </cell>
          <cell r="Q78">
            <v>7655.1428571428569</v>
          </cell>
        </row>
        <row r="79">
          <cell r="P79">
            <v>45841</v>
          </cell>
          <cell r="Q79">
            <v>7655.1428571428569</v>
          </cell>
        </row>
        <row r="80">
          <cell r="P80">
            <v>45842</v>
          </cell>
          <cell r="Q80">
            <v>7655.1428571428569</v>
          </cell>
        </row>
        <row r="81">
          <cell r="P81">
            <v>45843</v>
          </cell>
          <cell r="Q81">
            <v>7655.1428571428569</v>
          </cell>
        </row>
        <row r="82">
          <cell r="P82">
            <v>45844</v>
          </cell>
          <cell r="Q82">
            <v>7655.1428571428569</v>
          </cell>
        </row>
        <row r="83">
          <cell r="P83">
            <v>45845</v>
          </cell>
          <cell r="Q83">
            <v>7655.1428571428569</v>
          </cell>
        </row>
        <row r="84">
          <cell r="P84">
            <v>45846</v>
          </cell>
          <cell r="Q84">
            <v>7655.1428571428569</v>
          </cell>
        </row>
        <row r="85">
          <cell r="P85">
            <v>45847</v>
          </cell>
          <cell r="Q85">
            <v>7655.1428571428569</v>
          </cell>
        </row>
        <row r="86">
          <cell r="P86">
            <v>45848</v>
          </cell>
          <cell r="Q86">
            <v>7655.1428571428569</v>
          </cell>
        </row>
        <row r="87">
          <cell r="P87">
            <v>45849</v>
          </cell>
          <cell r="Q87">
            <v>7655.1428571428569</v>
          </cell>
        </row>
        <row r="88">
          <cell r="P88">
            <v>45850</v>
          </cell>
          <cell r="Q88">
            <v>7655.1428571428569</v>
          </cell>
        </row>
        <row r="89">
          <cell r="P89">
            <v>45851</v>
          </cell>
          <cell r="Q89">
            <v>7655.1428571428569</v>
          </cell>
        </row>
        <row r="90">
          <cell r="P90">
            <v>45852</v>
          </cell>
          <cell r="Q90">
            <v>7655.1428571428569</v>
          </cell>
        </row>
        <row r="91">
          <cell r="P91">
            <v>45853</v>
          </cell>
          <cell r="Q91">
            <v>7655.1428571428569</v>
          </cell>
        </row>
        <row r="92">
          <cell r="P92">
            <v>45854</v>
          </cell>
          <cell r="Q92">
            <v>7655.1428571428569</v>
          </cell>
        </row>
        <row r="93">
          <cell r="P93">
            <v>45855</v>
          </cell>
          <cell r="Q93">
            <v>7655.1428571428569</v>
          </cell>
        </row>
        <row r="94">
          <cell r="P94">
            <v>45856</v>
          </cell>
          <cell r="Q94">
            <v>7655.1428571428569</v>
          </cell>
        </row>
        <row r="95">
          <cell r="P95">
            <v>45857</v>
          </cell>
          <cell r="Q95">
            <v>7655.1428571428569</v>
          </cell>
        </row>
        <row r="96">
          <cell r="P96">
            <v>45858</v>
          </cell>
          <cell r="Q96">
            <v>7655.1428571428569</v>
          </cell>
        </row>
        <row r="97">
          <cell r="P97">
            <v>45859</v>
          </cell>
          <cell r="Q97">
            <v>7655.1428571428569</v>
          </cell>
        </row>
        <row r="98">
          <cell r="P98">
            <v>45860</v>
          </cell>
          <cell r="Q98">
            <v>7655.1428571428569</v>
          </cell>
        </row>
        <row r="99">
          <cell r="P99">
            <v>45861</v>
          </cell>
          <cell r="Q99">
            <v>7655.1428571428569</v>
          </cell>
        </row>
        <row r="100">
          <cell r="P100">
            <v>45862</v>
          </cell>
          <cell r="Q100">
            <v>7655.1428571428569</v>
          </cell>
        </row>
        <row r="101">
          <cell r="P101">
            <v>45863</v>
          </cell>
          <cell r="Q101">
            <v>7655.1428571428569</v>
          </cell>
        </row>
        <row r="102">
          <cell r="P102">
            <v>45864</v>
          </cell>
          <cell r="Q102">
            <v>7655.1428571428569</v>
          </cell>
        </row>
        <row r="103">
          <cell r="P103">
            <v>45865</v>
          </cell>
          <cell r="Q103">
            <v>7655.1428571428569</v>
          </cell>
        </row>
        <row r="104">
          <cell r="P104">
            <v>45866</v>
          </cell>
          <cell r="Q104">
            <v>7655.1428571428569</v>
          </cell>
        </row>
        <row r="105">
          <cell r="P105">
            <v>45867</v>
          </cell>
          <cell r="Q105">
            <v>7655.1428571428569</v>
          </cell>
        </row>
        <row r="106">
          <cell r="P106">
            <v>45868</v>
          </cell>
          <cell r="Q106">
            <v>7655.1428571428569</v>
          </cell>
        </row>
        <row r="107">
          <cell r="P107">
            <v>45869</v>
          </cell>
          <cell r="Q107">
            <v>7655.1428571428569</v>
          </cell>
        </row>
        <row r="108">
          <cell r="P108">
            <v>45870</v>
          </cell>
          <cell r="Q108">
            <v>7655.1428571428569</v>
          </cell>
        </row>
        <row r="109">
          <cell r="P109">
            <v>45871</v>
          </cell>
          <cell r="Q109">
            <v>7655.1428571428569</v>
          </cell>
        </row>
        <row r="110">
          <cell r="P110">
            <v>45872</v>
          </cell>
          <cell r="Q110">
            <v>7655.1428571428569</v>
          </cell>
        </row>
        <row r="111">
          <cell r="P111">
            <v>45873</v>
          </cell>
          <cell r="Q111">
            <v>7655.1428571428569</v>
          </cell>
        </row>
        <row r="112">
          <cell r="P112">
            <v>45874</v>
          </cell>
          <cell r="Q112">
            <v>7655.1428571428569</v>
          </cell>
        </row>
        <row r="113">
          <cell r="P113">
            <v>45875</v>
          </cell>
          <cell r="Q113">
            <v>7655.1428571428569</v>
          </cell>
        </row>
        <row r="114">
          <cell r="P114">
            <v>45876</v>
          </cell>
          <cell r="Q114">
            <v>7655.1428571428569</v>
          </cell>
        </row>
        <row r="115">
          <cell r="P115">
            <v>45877</v>
          </cell>
          <cell r="Q115">
            <v>7655.1428571428569</v>
          </cell>
        </row>
        <row r="116">
          <cell r="P116">
            <v>45878</v>
          </cell>
          <cell r="Q116">
            <v>7655.1428571428569</v>
          </cell>
        </row>
        <row r="117">
          <cell r="P117">
            <v>45879</v>
          </cell>
          <cell r="Q117">
            <v>7655.1428571428569</v>
          </cell>
        </row>
        <row r="118">
          <cell r="P118">
            <v>45880</v>
          </cell>
          <cell r="Q118">
            <v>7655.1428571428569</v>
          </cell>
        </row>
        <row r="119">
          <cell r="P119">
            <v>45881</v>
          </cell>
          <cell r="Q119">
            <v>7655.1428571428569</v>
          </cell>
        </row>
        <row r="120">
          <cell r="P120">
            <v>45882</v>
          </cell>
          <cell r="Q120">
            <v>7655.1428571428569</v>
          </cell>
        </row>
        <row r="121">
          <cell r="P121">
            <v>45883</v>
          </cell>
          <cell r="Q121">
            <v>7655.1428571428569</v>
          </cell>
        </row>
        <row r="122">
          <cell r="P122">
            <v>45884</v>
          </cell>
          <cell r="Q122">
            <v>7655.1428571428569</v>
          </cell>
        </row>
        <row r="123">
          <cell r="P123">
            <v>45885</v>
          </cell>
          <cell r="Q123">
            <v>7655.1428571428569</v>
          </cell>
        </row>
        <row r="124">
          <cell r="P124">
            <v>45886</v>
          </cell>
          <cell r="Q124">
            <v>7655.1428571428569</v>
          </cell>
        </row>
        <row r="125">
          <cell r="P125">
            <v>45887</v>
          </cell>
          <cell r="Q125">
            <v>7655.1428571428569</v>
          </cell>
        </row>
      </sheetData>
      <sheetData sheetId="84"/>
      <sheetData sheetId="8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F087611319785EAE" itemId="F087611319785EAE!12334">
      <xxl21:absoluteUrl r:id="rId2"/>
      <xxl21:relativeUrl r:id="rId3"/>
    </xxl21:alternateUrls>
    <sheetNames>
      <sheetName val="Empaque (1)"/>
      <sheetName val="Empaque (2)"/>
      <sheetName val="Empaque (3)"/>
      <sheetName val="Empaque (4)"/>
      <sheetName val="Empaque (5)"/>
      <sheetName val="Empaque (6)"/>
      <sheetName val="Empaque (7)"/>
      <sheetName val="Empaque (8)"/>
      <sheetName val="Empaque (9)"/>
      <sheetName val="Empaque (10)"/>
      <sheetName val="Empaque (11)"/>
      <sheetName val="Empaque (12)"/>
      <sheetName val="Empaque (13)"/>
      <sheetName val="Empaque (14)"/>
      <sheetName val="Empaque (15)"/>
      <sheetName val="Empaque (16)"/>
      <sheetName val="Empaque (17)"/>
      <sheetName val="Empaque (18)"/>
      <sheetName val="Empaque (19)"/>
      <sheetName val="Empaque (20)"/>
      <sheetName val="Empaque (21)"/>
      <sheetName val="Empaque (22)"/>
      <sheetName val="Empaque (23)"/>
      <sheetName val="Empaque (24)"/>
      <sheetName val="Empaque (25)"/>
      <sheetName val="Empaque (26)"/>
      <sheetName val="Empaque (27)"/>
      <sheetName val="Empaque (28)"/>
      <sheetName val="Empaque (29)"/>
      <sheetName val="Empaque (30)"/>
      <sheetName val="Empaque (31)"/>
      <sheetName val="Empaque (32)"/>
      <sheetName val="Empaque (33)"/>
      <sheetName val="Empaque (34)"/>
      <sheetName val="Empaque (35)"/>
      <sheetName val="Empaque (36)"/>
      <sheetName val="Empaque (37)"/>
      <sheetName val="Empaque (38)"/>
      <sheetName val="Empaque (39)"/>
      <sheetName val="Empaque (40)"/>
      <sheetName val="Empaque (41)"/>
      <sheetName val="Empaque (42)"/>
      <sheetName val="Totales"/>
      <sheetName val="Corte"/>
      <sheetName val="Cajas x Semana"/>
      <sheetName val="p PDF"/>
      <sheetName val="Empaque (43)"/>
      <sheetName val="Empaque (44)"/>
      <sheetName val="Empaque (45)"/>
      <sheetName val="Empaque (46)"/>
      <sheetName val="Empaque (47)"/>
      <sheetName val="Empaque (48)"/>
      <sheetName val="Empaque (49)"/>
      <sheetName val="Empaque (50)"/>
      <sheetName val="Empaque (51)"/>
      <sheetName val="Empaque (52)"/>
      <sheetName val="Empaque (53)"/>
      <sheetName val="Empaque (54)"/>
      <sheetName val="Empaque (55)"/>
      <sheetName val="Empaque (56)"/>
      <sheetName val="Empaque (57)"/>
      <sheetName val="Empaque (58)"/>
      <sheetName val="Empaque (59)"/>
      <sheetName val="Empaque (60)"/>
      <sheetName val="Empaque (61)"/>
      <sheetName val="Empaque (62)"/>
      <sheetName val="Empaque (63)"/>
      <sheetName val="Empaque (64)"/>
      <sheetName val="Empaque (65)"/>
      <sheetName val="Empaque (66)"/>
      <sheetName val="Empaque (67)"/>
      <sheetName val="Empaque (68)"/>
      <sheetName val="Gráfica Producción"/>
      <sheetName val="Cajas Semana"/>
      <sheetName val="Listado"/>
      <sheetName val="Tamaños"/>
      <sheetName val="Empaque (69)"/>
      <sheetName val="Empaque (70)"/>
      <sheetName val="Hoja1"/>
      <sheetName val="Costo Maq "/>
      <sheetName val="Lista Maq"/>
      <sheetName val="Cajas Acum x Fecha"/>
      <sheetName val="Precios Maquila"/>
      <sheetName val="Conteos Tamañ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>
        <row r="10">
          <cell r="P10">
            <v>45399</v>
          </cell>
          <cell r="Q10">
            <v>32.4</v>
          </cell>
        </row>
        <row r="11">
          <cell r="P11">
            <v>45400</v>
          </cell>
          <cell r="Q11">
            <v>32.4</v>
          </cell>
        </row>
        <row r="12">
          <cell r="P12">
            <v>45401</v>
          </cell>
          <cell r="Q12">
            <v>32.4</v>
          </cell>
        </row>
        <row r="13">
          <cell r="P13">
            <v>45402</v>
          </cell>
          <cell r="Q13">
            <v>96.6</v>
          </cell>
        </row>
        <row r="14">
          <cell r="P14">
            <v>45403</v>
          </cell>
          <cell r="Q14">
            <v>96.6</v>
          </cell>
        </row>
        <row r="15">
          <cell r="P15">
            <v>45404</v>
          </cell>
          <cell r="Q15">
            <v>96.6</v>
          </cell>
        </row>
        <row r="16">
          <cell r="P16">
            <v>45405</v>
          </cell>
          <cell r="Q16">
            <v>212.8</v>
          </cell>
        </row>
        <row r="17">
          <cell r="P17">
            <v>45406</v>
          </cell>
          <cell r="Q17">
            <v>212.8</v>
          </cell>
        </row>
        <row r="18">
          <cell r="P18">
            <v>45407</v>
          </cell>
          <cell r="Q18">
            <v>212.8</v>
          </cell>
        </row>
        <row r="19">
          <cell r="P19">
            <v>45408</v>
          </cell>
          <cell r="Q19">
            <v>362.2</v>
          </cell>
        </row>
        <row r="20">
          <cell r="P20">
            <v>45409</v>
          </cell>
          <cell r="Q20">
            <v>362.2</v>
          </cell>
        </row>
        <row r="21">
          <cell r="P21">
            <v>45410</v>
          </cell>
          <cell r="Q21">
            <v>362.2</v>
          </cell>
        </row>
        <row r="22">
          <cell r="P22">
            <v>45411</v>
          </cell>
          <cell r="Q22">
            <v>601.4</v>
          </cell>
        </row>
        <row r="23">
          <cell r="P23">
            <v>45412</v>
          </cell>
          <cell r="Q23">
            <v>601.4</v>
          </cell>
        </row>
        <row r="24">
          <cell r="P24">
            <v>45413</v>
          </cell>
          <cell r="Q24">
            <v>601.4</v>
          </cell>
        </row>
        <row r="25">
          <cell r="P25">
            <v>45414</v>
          </cell>
          <cell r="Q25">
            <v>856.6</v>
          </cell>
        </row>
        <row r="26">
          <cell r="P26">
            <v>45415</v>
          </cell>
          <cell r="Q26">
            <v>897.2</v>
          </cell>
        </row>
        <row r="27">
          <cell r="P27">
            <v>45416</v>
          </cell>
          <cell r="Q27">
            <v>1047.8</v>
          </cell>
        </row>
        <row r="28">
          <cell r="P28">
            <v>45417</v>
          </cell>
          <cell r="Q28">
            <v>1047.8</v>
          </cell>
        </row>
        <row r="29">
          <cell r="P29">
            <v>45418</v>
          </cell>
          <cell r="Q29">
            <v>1245.2</v>
          </cell>
        </row>
        <row r="30">
          <cell r="P30">
            <v>45419</v>
          </cell>
          <cell r="Q30">
            <v>1423.2</v>
          </cell>
        </row>
        <row r="31">
          <cell r="P31">
            <v>45420</v>
          </cell>
          <cell r="Q31">
            <v>1578.2</v>
          </cell>
        </row>
        <row r="32">
          <cell r="P32">
            <v>45421</v>
          </cell>
          <cell r="Q32">
            <v>1715.6</v>
          </cell>
        </row>
        <row r="33">
          <cell r="P33">
            <v>45422</v>
          </cell>
          <cell r="Q33">
            <v>1862.2</v>
          </cell>
        </row>
        <row r="34">
          <cell r="P34">
            <v>45423</v>
          </cell>
          <cell r="Q34">
            <v>2016.2</v>
          </cell>
        </row>
        <row r="35">
          <cell r="P35">
            <v>45424</v>
          </cell>
          <cell r="Q35">
            <v>2080</v>
          </cell>
        </row>
        <row r="36">
          <cell r="P36">
            <v>45425</v>
          </cell>
          <cell r="Q36">
            <v>2276.6</v>
          </cell>
        </row>
        <row r="37">
          <cell r="P37">
            <v>45426</v>
          </cell>
          <cell r="Q37">
            <v>2448.1999999999998</v>
          </cell>
        </row>
        <row r="38">
          <cell r="P38">
            <v>45427</v>
          </cell>
          <cell r="Q38">
            <v>2570.6</v>
          </cell>
        </row>
        <row r="39">
          <cell r="P39">
            <v>45428</v>
          </cell>
          <cell r="Q39">
            <v>2784.8</v>
          </cell>
        </row>
        <row r="40">
          <cell r="P40">
            <v>45429</v>
          </cell>
          <cell r="Q40">
            <v>2987</v>
          </cell>
        </row>
        <row r="41">
          <cell r="P41">
            <v>45430</v>
          </cell>
          <cell r="Q41">
            <v>3122.2</v>
          </cell>
        </row>
        <row r="42">
          <cell r="P42">
            <v>45431</v>
          </cell>
          <cell r="Q42">
            <v>3221.4</v>
          </cell>
        </row>
        <row r="43">
          <cell r="P43">
            <v>45432</v>
          </cell>
          <cell r="Q43">
            <v>3367.8</v>
          </cell>
        </row>
        <row r="44">
          <cell r="P44">
            <v>45433</v>
          </cell>
          <cell r="Q44">
            <v>3553.2</v>
          </cell>
        </row>
        <row r="45">
          <cell r="P45">
            <v>45434</v>
          </cell>
          <cell r="Q45">
            <v>3725</v>
          </cell>
        </row>
        <row r="46">
          <cell r="P46">
            <v>45435</v>
          </cell>
          <cell r="Q46">
            <v>3848.4</v>
          </cell>
        </row>
        <row r="47">
          <cell r="P47">
            <v>45436</v>
          </cell>
          <cell r="Q47">
            <v>3995.2</v>
          </cell>
        </row>
        <row r="48">
          <cell r="P48">
            <v>45437</v>
          </cell>
          <cell r="Q48">
            <v>4164.3999999999996</v>
          </cell>
        </row>
        <row r="49">
          <cell r="P49">
            <v>45438</v>
          </cell>
          <cell r="Q49">
            <v>4164.3999999999996</v>
          </cell>
        </row>
        <row r="50">
          <cell r="P50">
            <v>45439</v>
          </cell>
          <cell r="Q50">
            <v>4375</v>
          </cell>
        </row>
        <row r="51">
          <cell r="P51">
            <v>45440</v>
          </cell>
          <cell r="Q51">
            <v>4575.8</v>
          </cell>
        </row>
        <row r="52">
          <cell r="P52">
            <v>45441</v>
          </cell>
          <cell r="Q52">
            <v>4575.8</v>
          </cell>
        </row>
        <row r="53">
          <cell r="P53">
            <v>45442</v>
          </cell>
          <cell r="Q53">
            <v>4756.3999999999996</v>
          </cell>
        </row>
        <row r="54">
          <cell r="P54">
            <v>45443</v>
          </cell>
          <cell r="Q54">
            <v>4923.8</v>
          </cell>
        </row>
        <row r="55">
          <cell r="P55">
            <v>45444</v>
          </cell>
          <cell r="Q55">
            <v>4993.3999999999996</v>
          </cell>
        </row>
        <row r="56">
          <cell r="P56">
            <v>45445</v>
          </cell>
          <cell r="Q56">
            <v>4993.3999999999996</v>
          </cell>
        </row>
        <row r="57">
          <cell r="P57">
            <v>45446</v>
          </cell>
          <cell r="Q57">
            <v>5141.8</v>
          </cell>
        </row>
        <row r="58">
          <cell r="P58">
            <v>45447</v>
          </cell>
          <cell r="Q58">
            <v>5141.8</v>
          </cell>
        </row>
        <row r="59">
          <cell r="P59">
            <v>45448</v>
          </cell>
          <cell r="Q59">
            <v>5281</v>
          </cell>
        </row>
        <row r="60">
          <cell r="P60">
            <v>45449</v>
          </cell>
          <cell r="Q60">
            <v>5281</v>
          </cell>
        </row>
        <row r="61">
          <cell r="P61">
            <v>45450</v>
          </cell>
          <cell r="Q61">
            <v>5281</v>
          </cell>
        </row>
        <row r="62">
          <cell r="P62">
            <v>45451</v>
          </cell>
          <cell r="Q62">
            <v>5281</v>
          </cell>
        </row>
        <row r="63">
          <cell r="P63">
            <v>45452</v>
          </cell>
          <cell r="Q63">
            <v>5281</v>
          </cell>
        </row>
        <row r="64">
          <cell r="P64">
            <v>45453</v>
          </cell>
          <cell r="Q64">
            <v>5281</v>
          </cell>
        </row>
        <row r="65">
          <cell r="P65">
            <v>45454</v>
          </cell>
          <cell r="Q65">
            <v>5383.8</v>
          </cell>
        </row>
        <row r="66">
          <cell r="P66">
            <v>45455</v>
          </cell>
          <cell r="Q66">
            <v>5383.8</v>
          </cell>
        </row>
        <row r="67">
          <cell r="P67">
            <v>45456</v>
          </cell>
          <cell r="Q67">
            <v>5383.8</v>
          </cell>
        </row>
        <row r="68">
          <cell r="P68">
            <v>45457</v>
          </cell>
          <cell r="Q68">
            <v>5392.8</v>
          </cell>
        </row>
        <row r="69">
          <cell r="P69">
            <v>45458</v>
          </cell>
          <cell r="Q69">
            <v>5406.8</v>
          </cell>
        </row>
        <row r="70">
          <cell r="P70">
            <v>45459</v>
          </cell>
          <cell r="Q70">
            <v>5406.8</v>
          </cell>
        </row>
        <row r="71">
          <cell r="P71">
            <v>45460</v>
          </cell>
          <cell r="Q71">
            <v>5406.8</v>
          </cell>
        </row>
        <row r="72">
          <cell r="P72">
            <v>45461</v>
          </cell>
          <cell r="Q72">
            <v>5406.8</v>
          </cell>
        </row>
        <row r="73">
          <cell r="P73">
            <v>45462</v>
          </cell>
          <cell r="Q73">
            <v>5406.8</v>
          </cell>
        </row>
        <row r="74">
          <cell r="P74">
            <v>45463</v>
          </cell>
          <cell r="Q74">
            <v>5406.8</v>
          </cell>
        </row>
        <row r="75">
          <cell r="P75">
            <v>45464</v>
          </cell>
          <cell r="Q75">
            <v>5406.8</v>
          </cell>
        </row>
        <row r="76">
          <cell r="P76">
            <v>45465</v>
          </cell>
          <cell r="Q76">
            <v>5406.8</v>
          </cell>
        </row>
        <row r="77">
          <cell r="P77">
            <v>45466</v>
          </cell>
          <cell r="Q77">
            <v>5406.8</v>
          </cell>
        </row>
        <row r="78">
          <cell r="P78">
            <v>45467</v>
          </cell>
          <cell r="Q78">
            <v>5406.8</v>
          </cell>
        </row>
        <row r="79">
          <cell r="P79">
            <v>45468</v>
          </cell>
          <cell r="Q79">
            <v>5406.8</v>
          </cell>
        </row>
        <row r="80">
          <cell r="P80">
            <v>45469</v>
          </cell>
          <cell r="Q80">
            <v>5406.8</v>
          </cell>
        </row>
        <row r="81">
          <cell r="P81">
            <v>45470</v>
          </cell>
          <cell r="Q81">
            <v>5406.8</v>
          </cell>
        </row>
        <row r="82">
          <cell r="P82">
            <v>45471</v>
          </cell>
          <cell r="Q82">
            <v>5406.8</v>
          </cell>
        </row>
        <row r="83">
          <cell r="P83">
            <v>45472</v>
          </cell>
          <cell r="Q83">
            <v>5406.8</v>
          </cell>
        </row>
        <row r="84">
          <cell r="P84">
            <v>45473</v>
          </cell>
          <cell r="Q84">
            <v>5406.8</v>
          </cell>
        </row>
        <row r="85">
          <cell r="P85">
            <v>45474</v>
          </cell>
          <cell r="Q85">
            <v>5406.8</v>
          </cell>
        </row>
        <row r="86">
          <cell r="P86">
            <v>45475</v>
          </cell>
          <cell r="Q86">
            <v>5406.8</v>
          </cell>
        </row>
        <row r="87">
          <cell r="P87">
            <v>45476</v>
          </cell>
          <cell r="Q87">
            <v>5406.8</v>
          </cell>
        </row>
        <row r="88">
          <cell r="P88">
            <v>45477</v>
          </cell>
          <cell r="Q88">
            <v>5406.8</v>
          </cell>
        </row>
        <row r="89">
          <cell r="P89">
            <v>45478</v>
          </cell>
          <cell r="Q89">
            <v>5406.8</v>
          </cell>
        </row>
        <row r="90">
          <cell r="P90">
            <v>45479</v>
          </cell>
          <cell r="Q90">
            <v>5406.8</v>
          </cell>
        </row>
        <row r="91">
          <cell r="P91">
            <v>45480</v>
          </cell>
          <cell r="Q91">
            <v>5406.8</v>
          </cell>
        </row>
        <row r="92">
          <cell r="P92">
            <v>45481</v>
          </cell>
          <cell r="Q92">
            <v>5406.8</v>
          </cell>
        </row>
        <row r="93">
          <cell r="P93">
            <v>45482</v>
          </cell>
          <cell r="Q93">
            <v>5406.8</v>
          </cell>
        </row>
        <row r="94">
          <cell r="P94">
            <v>45483</v>
          </cell>
          <cell r="Q94">
            <v>5406.8</v>
          </cell>
        </row>
        <row r="95">
          <cell r="P95">
            <v>45484</v>
          </cell>
          <cell r="Q95">
            <v>5406.8</v>
          </cell>
        </row>
        <row r="96">
          <cell r="P96">
            <v>45485</v>
          </cell>
          <cell r="Q96">
            <v>5406.8</v>
          </cell>
        </row>
        <row r="97">
          <cell r="P97">
            <v>45486</v>
          </cell>
          <cell r="Q97">
            <v>5406.8</v>
          </cell>
        </row>
        <row r="98">
          <cell r="P98">
            <v>45487</v>
          </cell>
          <cell r="Q98">
            <v>5406.8</v>
          </cell>
        </row>
        <row r="99">
          <cell r="P99">
            <v>45488</v>
          </cell>
          <cell r="Q99">
            <v>5406.8</v>
          </cell>
        </row>
        <row r="100">
          <cell r="P100">
            <v>45489</v>
          </cell>
          <cell r="Q100">
            <v>5406.8</v>
          </cell>
        </row>
        <row r="101">
          <cell r="P101">
            <v>45490</v>
          </cell>
          <cell r="Q101">
            <v>5406.8</v>
          </cell>
        </row>
        <row r="102">
          <cell r="P102">
            <v>45491</v>
          </cell>
          <cell r="Q102">
            <v>5406.8</v>
          </cell>
        </row>
        <row r="103">
          <cell r="P103">
            <v>45492</v>
          </cell>
          <cell r="Q103">
            <v>5406.8</v>
          </cell>
        </row>
        <row r="104">
          <cell r="P104">
            <v>45493</v>
          </cell>
          <cell r="Q104">
            <v>5406.8</v>
          </cell>
        </row>
        <row r="105">
          <cell r="P105">
            <v>45494</v>
          </cell>
          <cell r="Q105">
            <v>5406.8</v>
          </cell>
        </row>
        <row r="106">
          <cell r="P106">
            <v>45495</v>
          </cell>
          <cell r="Q106">
            <v>5406.8</v>
          </cell>
        </row>
        <row r="107">
          <cell r="P107">
            <v>45496</v>
          </cell>
          <cell r="Q107">
            <v>5406.8</v>
          </cell>
        </row>
        <row r="108">
          <cell r="P108">
            <v>45497</v>
          </cell>
          <cell r="Q108">
            <v>5406.8</v>
          </cell>
        </row>
        <row r="109">
          <cell r="P109">
            <v>45498</v>
          </cell>
          <cell r="Q109">
            <v>5406.8</v>
          </cell>
        </row>
        <row r="110">
          <cell r="P110">
            <v>45499</v>
          </cell>
          <cell r="Q110">
            <v>5406.8</v>
          </cell>
        </row>
        <row r="111">
          <cell r="P111">
            <v>45500</v>
          </cell>
          <cell r="Q111">
            <v>5406.8</v>
          </cell>
        </row>
        <row r="112">
          <cell r="P112">
            <v>45501</v>
          </cell>
          <cell r="Q112">
            <v>5406.8</v>
          </cell>
        </row>
        <row r="113">
          <cell r="P113">
            <v>45502</v>
          </cell>
          <cell r="Q113">
            <v>5406.8</v>
          </cell>
        </row>
        <row r="114">
          <cell r="P114">
            <v>45503</v>
          </cell>
          <cell r="Q114">
            <v>5406.8</v>
          </cell>
        </row>
        <row r="115">
          <cell r="P115">
            <v>45504</v>
          </cell>
          <cell r="Q115">
            <v>5406.8</v>
          </cell>
        </row>
        <row r="116">
          <cell r="P116">
            <v>45505</v>
          </cell>
          <cell r="Q116">
            <v>5406.8</v>
          </cell>
        </row>
        <row r="117">
          <cell r="P117">
            <v>45506</v>
          </cell>
          <cell r="Q117">
            <v>5406.8</v>
          </cell>
        </row>
        <row r="118">
          <cell r="P118">
            <v>45507</v>
          </cell>
          <cell r="Q118">
            <v>5406.8</v>
          </cell>
        </row>
        <row r="119">
          <cell r="P119">
            <v>45508</v>
          </cell>
          <cell r="Q119">
            <v>5406.8</v>
          </cell>
        </row>
        <row r="120">
          <cell r="P120">
            <v>45509</v>
          </cell>
          <cell r="Q120">
            <v>5406.8</v>
          </cell>
        </row>
        <row r="121">
          <cell r="P121">
            <v>45510</v>
          </cell>
          <cell r="Q121">
            <v>5406.8</v>
          </cell>
        </row>
        <row r="122">
          <cell r="P122">
            <v>45511</v>
          </cell>
          <cell r="Q122">
            <v>5406.8</v>
          </cell>
        </row>
        <row r="123">
          <cell r="P123">
            <v>45512</v>
          </cell>
          <cell r="Q123">
            <v>5406.8</v>
          </cell>
        </row>
        <row r="124">
          <cell r="P124">
            <v>45513</v>
          </cell>
          <cell r="Q124">
            <v>5406.8</v>
          </cell>
        </row>
        <row r="125">
          <cell r="P125">
            <v>45514</v>
          </cell>
          <cell r="Q125">
            <v>5406.8</v>
          </cell>
        </row>
      </sheetData>
      <sheetData sheetId="82"/>
      <sheetData sheetId="8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F087611319785EAE" itemId="F087611319785EAE!9325">
      <xxl21:absoluteUrl r:id="rId2"/>
      <xxl21:relativeUrl r:id="rId3"/>
    </xxl21:alternateUrls>
    <sheetNames>
      <sheetName val="Cajas Acum x Fecha"/>
      <sheetName val="Empaque (1)"/>
      <sheetName val="Empaque (2)"/>
      <sheetName val="Empaque (3)"/>
      <sheetName val="Empaque (4)"/>
      <sheetName val="Empaque (5)"/>
      <sheetName val="Empaque (6)"/>
      <sheetName val="Empaque (7)"/>
      <sheetName val="Empaque (8)"/>
      <sheetName val="Empaque (9)"/>
      <sheetName val="Empaque (10)"/>
      <sheetName val="Empaque (11)"/>
      <sheetName val="Empaque (12)"/>
      <sheetName val="Empaque (13)"/>
      <sheetName val="Empaque (14)"/>
      <sheetName val="Empaque (15)"/>
      <sheetName val="Empaque (16)"/>
      <sheetName val="Empaque (17)"/>
      <sheetName val="Empaque (18)"/>
      <sheetName val="Empaque (19)"/>
      <sheetName val="Empaque (20)"/>
      <sheetName val="Empaque (21)"/>
      <sheetName val="Empaque (22)"/>
      <sheetName val="Empaque (23)"/>
      <sheetName val="Reporte Semana 7"/>
      <sheetName val="Empaque (24)"/>
      <sheetName val="Empaque (25)"/>
      <sheetName val="Empaque (26)"/>
      <sheetName val="Empaque (27)"/>
      <sheetName val="Empaque (28)"/>
      <sheetName val="Reporte Semana 8"/>
      <sheetName val="Empaque (29)"/>
      <sheetName val="Empaque (30)"/>
      <sheetName val="Empaque (31)"/>
      <sheetName val="Empaque (32)"/>
      <sheetName val="Reporte Semana 9"/>
      <sheetName val="Totales LP (x Fecha)"/>
      <sheetName val="Tamaños"/>
      <sheetName val="Corte"/>
      <sheetName val="Empaque y Tam 2 Campos"/>
      <sheetName val="p PDF"/>
      <sheetName val="Totales"/>
      <sheetName val="Empaque (33)"/>
      <sheetName val="Empaque (34)"/>
      <sheetName val="Empaque (35)"/>
      <sheetName val="Empaque (36)"/>
      <sheetName val="Empaque (37)"/>
      <sheetName val="Empaque (38)"/>
      <sheetName val="Empaque (39)"/>
      <sheetName val="Empaque (40)"/>
      <sheetName val="Empaque (41)"/>
      <sheetName val="Empaque (42)"/>
      <sheetName val="Empaque (43)"/>
      <sheetName val="Empaque (44)"/>
      <sheetName val="Empaque (45)"/>
      <sheetName val="Empaque (46)"/>
      <sheetName val="Empaque (47)"/>
      <sheetName val="Empaque (48)"/>
      <sheetName val="Empaque (49)"/>
      <sheetName val="Empaque (50)"/>
      <sheetName val="Empaque (51)"/>
      <sheetName val="Empaque (52)"/>
      <sheetName val="Empaque (53)"/>
      <sheetName val="Empaque (54)"/>
      <sheetName val="Empaque (55)"/>
      <sheetName val="Empaque (56)"/>
      <sheetName val="Empaque (57)"/>
      <sheetName val="Empaque (58)"/>
      <sheetName val="Empaque (59)"/>
      <sheetName val="Empaque (60)"/>
      <sheetName val="Empaque (61)"/>
      <sheetName val="Empaque (62)"/>
      <sheetName val="Empaque (63)"/>
      <sheetName val="Empaque (64)"/>
      <sheetName val="Empaque (65)"/>
      <sheetName val="Empaque (66)"/>
      <sheetName val="Cajas Semana"/>
      <sheetName val="Empaque (67)"/>
      <sheetName val="Empaque (68)"/>
      <sheetName val="Empaque (69)"/>
      <sheetName val="Empaque (70)"/>
      <sheetName val="Hoja1"/>
      <sheetName val="Cajas Trasbordo"/>
      <sheetName val="Costo Maq "/>
      <sheetName val="Lista Maq"/>
      <sheetName val="Hoja2"/>
      <sheetName val="Precios Maquila"/>
      <sheetName val="Hoja3"/>
    </sheetNames>
    <sheetDataSet>
      <sheetData sheetId="0">
        <row r="10">
          <cell r="P10">
            <v>45033</v>
          </cell>
          <cell r="Q10">
            <v>42.6</v>
          </cell>
        </row>
        <row r="11">
          <cell r="P11">
            <v>45034</v>
          </cell>
          <cell r="Q11">
            <v>42.6</v>
          </cell>
        </row>
        <row r="12">
          <cell r="P12">
            <v>45035</v>
          </cell>
          <cell r="Q12">
            <v>42.6</v>
          </cell>
        </row>
        <row r="13">
          <cell r="P13">
            <v>45036</v>
          </cell>
          <cell r="Q13">
            <v>42.6</v>
          </cell>
        </row>
        <row r="14">
          <cell r="P14">
            <v>45037</v>
          </cell>
          <cell r="Q14">
            <v>134.6</v>
          </cell>
        </row>
        <row r="15">
          <cell r="P15">
            <v>45038</v>
          </cell>
          <cell r="Q15">
            <v>134.6</v>
          </cell>
        </row>
        <row r="16">
          <cell r="P16">
            <v>45039</v>
          </cell>
          <cell r="Q16">
            <v>134.6</v>
          </cell>
        </row>
        <row r="17">
          <cell r="P17">
            <v>45040</v>
          </cell>
          <cell r="Q17">
            <v>134.6</v>
          </cell>
        </row>
        <row r="18">
          <cell r="P18">
            <v>45041</v>
          </cell>
          <cell r="Q18">
            <v>283.60000000000002</v>
          </cell>
        </row>
        <row r="19">
          <cell r="P19">
            <v>45042</v>
          </cell>
          <cell r="Q19">
            <v>283.60000000000002</v>
          </cell>
        </row>
        <row r="20">
          <cell r="P20">
            <v>45043</v>
          </cell>
          <cell r="Q20">
            <v>283.60000000000002</v>
          </cell>
        </row>
        <row r="21">
          <cell r="P21">
            <v>45044</v>
          </cell>
          <cell r="Q21">
            <v>476.8</v>
          </cell>
        </row>
        <row r="22">
          <cell r="P22">
            <v>45045</v>
          </cell>
          <cell r="Q22">
            <v>546.4</v>
          </cell>
        </row>
        <row r="23">
          <cell r="P23">
            <v>45046</v>
          </cell>
          <cell r="Q23">
            <v>546.4</v>
          </cell>
        </row>
        <row r="24">
          <cell r="P24">
            <v>45047</v>
          </cell>
          <cell r="Q24">
            <v>546.4</v>
          </cell>
        </row>
        <row r="25">
          <cell r="P25">
            <v>45048</v>
          </cell>
          <cell r="Q25">
            <v>548.4</v>
          </cell>
        </row>
        <row r="26">
          <cell r="P26">
            <v>45049</v>
          </cell>
          <cell r="Q26">
            <v>951</v>
          </cell>
        </row>
        <row r="27">
          <cell r="P27">
            <v>45050</v>
          </cell>
          <cell r="Q27">
            <v>951</v>
          </cell>
        </row>
        <row r="28">
          <cell r="P28">
            <v>45051</v>
          </cell>
          <cell r="Q28">
            <v>1247.2</v>
          </cell>
        </row>
        <row r="29">
          <cell r="P29">
            <v>45052</v>
          </cell>
          <cell r="Q29">
            <v>1247.2</v>
          </cell>
        </row>
        <row r="30">
          <cell r="P30">
            <v>45053</v>
          </cell>
          <cell r="Q30">
            <v>1247.2</v>
          </cell>
        </row>
        <row r="31">
          <cell r="P31">
            <v>45054</v>
          </cell>
          <cell r="Q31">
            <v>1512.8</v>
          </cell>
        </row>
        <row r="32">
          <cell r="P32">
            <v>45055</v>
          </cell>
          <cell r="Q32">
            <v>1899.4</v>
          </cell>
        </row>
        <row r="33">
          <cell r="P33">
            <v>45056</v>
          </cell>
          <cell r="Q33">
            <v>2038.2</v>
          </cell>
        </row>
        <row r="34">
          <cell r="P34">
            <v>45057</v>
          </cell>
          <cell r="Q34">
            <v>2476.1999999999998</v>
          </cell>
        </row>
        <row r="35">
          <cell r="P35">
            <v>45058</v>
          </cell>
          <cell r="Q35">
            <v>2615.8000000000002</v>
          </cell>
        </row>
        <row r="36">
          <cell r="P36">
            <v>45059</v>
          </cell>
          <cell r="Q36">
            <v>3218</v>
          </cell>
        </row>
        <row r="37">
          <cell r="P37">
            <v>45060</v>
          </cell>
          <cell r="Q37">
            <v>3218</v>
          </cell>
        </row>
        <row r="38">
          <cell r="P38">
            <v>45061</v>
          </cell>
          <cell r="Q38">
            <v>4025.2</v>
          </cell>
        </row>
        <row r="39">
          <cell r="P39">
            <v>45062</v>
          </cell>
          <cell r="Q39">
            <v>4025.2</v>
          </cell>
        </row>
        <row r="40">
          <cell r="P40">
            <v>45063</v>
          </cell>
          <cell r="Q40">
            <v>4662.6000000000004</v>
          </cell>
        </row>
        <row r="41">
          <cell r="P41">
            <v>45064</v>
          </cell>
          <cell r="Q41">
            <v>4662.6000000000004</v>
          </cell>
        </row>
        <row r="42">
          <cell r="P42">
            <v>45065</v>
          </cell>
          <cell r="Q42">
            <v>5244.4</v>
          </cell>
        </row>
        <row r="43">
          <cell r="P43">
            <v>45066</v>
          </cell>
          <cell r="Q43">
            <v>5347</v>
          </cell>
        </row>
        <row r="44">
          <cell r="P44">
            <v>45067</v>
          </cell>
          <cell r="Q44">
            <v>5347</v>
          </cell>
        </row>
        <row r="45">
          <cell r="P45">
            <v>45068</v>
          </cell>
          <cell r="Q45">
            <v>5774</v>
          </cell>
        </row>
        <row r="46">
          <cell r="P46">
            <v>45069</v>
          </cell>
          <cell r="Q46">
            <v>5940.4</v>
          </cell>
        </row>
        <row r="47">
          <cell r="P47">
            <v>45070</v>
          </cell>
          <cell r="Q47">
            <v>5940.4</v>
          </cell>
        </row>
        <row r="48">
          <cell r="P48">
            <v>45071</v>
          </cell>
          <cell r="Q48">
            <v>6408.6</v>
          </cell>
        </row>
        <row r="49">
          <cell r="P49">
            <v>45072</v>
          </cell>
          <cell r="Q49">
            <v>6746.4</v>
          </cell>
        </row>
        <row r="50">
          <cell r="P50">
            <v>45073</v>
          </cell>
          <cell r="Q50">
            <v>7093</v>
          </cell>
        </row>
        <row r="51">
          <cell r="P51">
            <v>45074</v>
          </cell>
          <cell r="Q51">
            <v>7093</v>
          </cell>
        </row>
        <row r="52">
          <cell r="P52">
            <v>45075</v>
          </cell>
          <cell r="Q52">
            <v>7093</v>
          </cell>
        </row>
        <row r="53">
          <cell r="P53">
            <v>45076</v>
          </cell>
          <cell r="Q53">
            <v>7812.6</v>
          </cell>
        </row>
        <row r="54">
          <cell r="P54">
            <v>45077</v>
          </cell>
          <cell r="Q54">
            <v>7812.6</v>
          </cell>
        </row>
        <row r="55">
          <cell r="P55">
            <v>45078</v>
          </cell>
          <cell r="Q55">
            <v>7812.6</v>
          </cell>
        </row>
        <row r="56">
          <cell r="P56">
            <v>45079</v>
          </cell>
          <cell r="Q56">
            <v>8209.7999999999993</v>
          </cell>
        </row>
        <row r="57">
          <cell r="P57">
            <v>45080</v>
          </cell>
          <cell r="Q57">
            <v>8209.7999999999993</v>
          </cell>
        </row>
        <row r="58">
          <cell r="P58">
            <v>45081</v>
          </cell>
          <cell r="Q58">
            <v>8371.7999999999993</v>
          </cell>
        </row>
        <row r="59">
          <cell r="P59">
            <v>45082</v>
          </cell>
          <cell r="Q59">
            <v>8371.7999999999993</v>
          </cell>
        </row>
        <row r="60">
          <cell r="P60">
            <v>45083</v>
          </cell>
          <cell r="Q60">
            <v>8567.6</v>
          </cell>
        </row>
        <row r="61">
          <cell r="P61">
            <v>45084</v>
          </cell>
          <cell r="Q61">
            <v>8846.2000000000007</v>
          </cell>
        </row>
        <row r="62">
          <cell r="P62">
            <v>45085</v>
          </cell>
          <cell r="Q62">
            <v>8846.2000000000007</v>
          </cell>
        </row>
        <row r="63">
          <cell r="P63">
            <v>45086</v>
          </cell>
          <cell r="Q63">
            <v>9130.4</v>
          </cell>
        </row>
        <row r="64">
          <cell r="P64">
            <v>45087</v>
          </cell>
          <cell r="Q64">
            <v>9189.4</v>
          </cell>
        </row>
        <row r="65">
          <cell r="P65">
            <v>45088</v>
          </cell>
          <cell r="Q65">
            <v>9189.4</v>
          </cell>
        </row>
        <row r="66">
          <cell r="P66">
            <v>45089</v>
          </cell>
          <cell r="Q66">
            <v>9189.4</v>
          </cell>
        </row>
        <row r="67">
          <cell r="P67">
            <v>45090</v>
          </cell>
          <cell r="Q67">
            <v>9189.4</v>
          </cell>
        </row>
        <row r="68">
          <cell r="P68">
            <v>45091</v>
          </cell>
          <cell r="Q68">
            <v>9189.4</v>
          </cell>
        </row>
        <row r="69">
          <cell r="P69">
            <v>45092</v>
          </cell>
          <cell r="Q69">
            <v>9189.4</v>
          </cell>
        </row>
        <row r="70">
          <cell r="P70">
            <v>45093</v>
          </cell>
          <cell r="Q70">
            <v>9189.4</v>
          </cell>
        </row>
        <row r="71">
          <cell r="P71">
            <v>45094</v>
          </cell>
          <cell r="Q71">
            <v>9189.4</v>
          </cell>
        </row>
        <row r="72">
          <cell r="P72">
            <v>45095</v>
          </cell>
          <cell r="Q72">
            <v>9189.4</v>
          </cell>
        </row>
        <row r="73">
          <cell r="P73">
            <v>45096</v>
          </cell>
          <cell r="Q73">
            <v>9189.4</v>
          </cell>
        </row>
        <row r="74">
          <cell r="P74">
            <v>45097</v>
          </cell>
          <cell r="Q74">
            <v>9189.4</v>
          </cell>
        </row>
        <row r="75">
          <cell r="P75">
            <v>45098</v>
          </cell>
          <cell r="Q75">
            <v>9189.4</v>
          </cell>
        </row>
        <row r="76">
          <cell r="P76">
            <v>45099</v>
          </cell>
          <cell r="Q76">
            <v>9189.4</v>
          </cell>
        </row>
        <row r="77">
          <cell r="P77">
            <v>45100</v>
          </cell>
          <cell r="Q77">
            <v>9189.4</v>
          </cell>
        </row>
        <row r="78">
          <cell r="P78">
            <v>45101</v>
          </cell>
          <cell r="Q78">
            <v>9189.4</v>
          </cell>
        </row>
        <row r="79">
          <cell r="P79">
            <v>45102</v>
          </cell>
          <cell r="Q79">
            <v>9189.4</v>
          </cell>
        </row>
        <row r="80">
          <cell r="P80">
            <v>45103</v>
          </cell>
          <cell r="Q80">
            <v>9189.4</v>
          </cell>
        </row>
        <row r="81">
          <cell r="P81">
            <v>45104</v>
          </cell>
          <cell r="Q81">
            <v>9189.4</v>
          </cell>
        </row>
        <row r="82">
          <cell r="P82">
            <v>45105</v>
          </cell>
          <cell r="Q82">
            <v>9189.4</v>
          </cell>
        </row>
        <row r="83">
          <cell r="P83">
            <v>45106</v>
          </cell>
          <cell r="Q83">
            <v>9189.4</v>
          </cell>
        </row>
        <row r="84">
          <cell r="P84">
            <v>45107</v>
          </cell>
          <cell r="Q84">
            <v>9189.4</v>
          </cell>
        </row>
        <row r="85">
          <cell r="P85">
            <v>45108</v>
          </cell>
          <cell r="Q85">
            <v>9189.4</v>
          </cell>
        </row>
        <row r="86">
          <cell r="P86">
            <v>45109</v>
          </cell>
          <cell r="Q86">
            <v>9189.4</v>
          </cell>
        </row>
        <row r="87">
          <cell r="P87">
            <v>45110</v>
          </cell>
          <cell r="Q87">
            <v>9189.4</v>
          </cell>
        </row>
        <row r="88">
          <cell r="P88">
            <v>45111</v>
          </cell>
          <cell r="Q88">
            <v>9189.4</v>
          </cell>
        </row>
        <row r="89">
          <cell r="P89">
            <v>45112</v>
          </cell>
          <cell r="Q89">
            <v>9189.4</v>
          </cell>
        </row>
        <row r="90">
          <cell r="P90">
            <v>45113</v>
          </cell>
          <cell r="Q90">
            <v>9189.4</v>
          </cell>
        </row>
        <row r="91">
          <cell r="P91">
            <v>45114</v>
          </cell>
          <cell r="Q91">
            <v>9189.4</v>
          </cell>
        </row>
        <row r="92">
          <cell r="P92">
            <v>45115</v>
          </cell>
          <cell r="Q92">
            <v>9189.4</v>
          </cell>
        </row>
        <row r="93">
          <cell r="P93">
            <v>45116</v>
          </cell>
          <cell r="Q93">
            <v>9189.4</v>
          </cell>
        </row>
        <row r="94">
          <cell r="P94">
            <v>45117</v>
          </cell>
          <cell r="Q94">
            <v>9189.4</v>
          </cell>
        </row>
        <row r="95">
          <cell r="P95">
            <v>45118</v>
          </cell>
          <cell r="Q95">
            <v>9189.4</v>
          </cell>
        </row>
        <row r="96">
          <cell r="P96">
            <v>45119</v>
          </cell>
          <cell r="Q96">
            <v>9189.4</v>
          </cell>
        </row>
        <row r="97">
          <cell r="P97">
            <v>45120</v>
          </cell>
          <cell r="Q97">
            <v>9189.4</v>
          </cell>
        </row>
        <row r="98">
          <cell r="P98">
            <v>45121</v>
          </cell>
          <cell r="Q98">
            <v>9189.4</v>
          </cell>
        </row>
        <row r="99">
          <cell r="P99">
            <v>45122</v>
          </cell>
          <cell r="Q99">
            <v>9189.4</v>
          </cell>
        </row>
        <row r="100">
          <cell r="P100">
            <v>45123</v>
          </cell>
          <cell r="Q100">
            <v>9189.4</v>
          </cell>
        </row>
        <row r="101">
          <cell r="P101">
            <v>45124</v>
          </cell>
          <cell r="Q101">
            <v>9189.4</v>
          </cell>
        </row>
        <row r="102">
          <cell r="P102">
            <v>45125</v>
          </cell>
          <cell r="Q102">
            <v>9189.4</v>
          </cell>
        </row>
        <row r="103">
          <cell r="P103">
            <v>45126</v>
          </cell>
          <cell r="Q103">
            <v>9189.4</v>
          </cell>
        </row>
        <row r="104">
          <cell r="P104">
            <v>45127</v>
          </cell>
          <cell r="Q104">
            <v>9189.4</v>
          </cell>
        </row>
        <row r="105">
          <cell r="P105">
            <v>45128</v>
          </cell>
          <cell r="Q105">
            <v>9189.4</v>
          </cell>
        </row>
        <row r="106">
          <cell r="P106">
            <v>45129</v>
          </cell>
          <cell r="Q106">
            <v>9189.4</v>
          </cell>
        </row>
        <row r="107">
          <cell r="P107">
            <v>45130</v>
          </cell>
          <cell r="Q107">
            <v>9189.4</v>
          </cell>
        </row>
        <row r="108">
          <cell r="P108">
            <v>45131</v>
          </cell>
          <cell r="Q108">
            <v>9189.4</v>
          </cell>
        </row>
        <row r="109">
          <cell r="P109">
            <v>45132</v>
          </cell>
          <cell r="Q109">
            <v>9189.4</v>
          </cell>
        </row>
        <row r="110">
          <cell r="P110">
            <v>45133</v>
          </cell>
          <cell r="Q110">
            <v>9189.4</v>
          </cell>
        </row>
        <row r="111">
          <cell r="P111">
            <v>45134</v>
          </cell>
          <cell r="Q111">
            <v>9189.4</v>
          </cell>
        </row>
        <row r="112">
          <cell r="P112">
            <v>45135</v>
          </cell>
          <cell r="Q112">
            <v>9189.4</v>
          </cell>
        </row>
        <row r="113">
          <cell r="P113">
            <v>45136</v>
          </cell>
          <cell r="Q113">
            <v>9189.4</v>
          </cell>
        </row>
        <row r="114">
          <cell r="P114">
            <v>45137</v>
          </cell>
          <cell r="Q114">
            <v>9189.4</v>
          </cell>
        </row>
        <row r="115">
          <cell r="P115">
            <v>45138</v>
          </cell>
          <cell r="Q115">
            <v>9189.4</v>
          </cell>
        </row>
        <row r="116">
          <cell r="P116">
            <v>45139</v>
          </cell>
          <cell r="Q116">
            <v>9189.4</v>
          </cell>
        </row>
        <row r="117">
          <cell r="P117">
            <v>45140</v>
          </cell>
          <cell r="Q117">
            <v>9189.4</v>
          </cell>
        </row>
        <row r="118">
          <cell r="P118">
            <v>45141</v>
          </cell>
          <cell r="Q118">
            <v>9189.4</v>
          </cell>
        </row>
        <row r="119">
          <cell r="P119">
            <v>45142</v>
          </cell>
          <cell r="Q119">
            <v>9189.4</v>
          </cell>
        </row>
        <row r="120">
          <cell r="P120">
            <v>45143</v>
          </cell>
          <cell r="Q120">
            <v>9189.4</v>
          </cell>
        </row>
        <row r="121">
          <cell r="P121">
            <v>45144</v>
          </cell>
          <cell r="Q121">
            <v>9189.4</v>
          </cell>
        </row>
        <row r="122">
          <cell r="P122">
            <v>45145</v>
          </cell>
          <cell r="Q122">
            <v>9189.4</v>
          </cell>
        </row>
        <row r="123">
          <cell r="P123">
            <v>45146</v>
          </cell>
          <cell r="Q123">
            <v>9189.4</v>
          </cell>
        </row>
        <row r="124">
          <cell r="P124">
            <v>45147</v>
          </cell>
          <cell r="Q124">
            <v>9189.4</v>
          </cell>
        </row>
        <row r="125">
          <cell r="P125">
            <v>45148</v>
          </cell>
          <cell r="Q125">
            <v>9189.4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4E507-AF52-4A61-9262-D602E6DFFEC3}">
  <sheetPr codeName="Hoja42">
    <tabColor theme="9" tint="0.59999389629810485"/>
  </sheetPr>
  <dimension ref="A1:AJ101"/>
  <sheetViews>
    <sheetView showGridLines="0" tabSelected="1" workbookViewId="0">
      <selection activeCell="K29" sqref="K29"/>
    </sheetView>
  </sheetViews>
  <sheetFormatPr baseColWidth="10" defaultColWidth="10.6640625" defaultRowHeight="14.4" x14ac:dyDescent="0.3"/>
  <cols>
    <col min="1" max="1" width="17.6640625" bestFit="1" customWidth="1"/>
    <col min="2" max="2" width="7.88671875" bestFit="1" customWidth="1"/>
    <col min="3" max="3" width="7.6640625" customWidth="1"/>
    <col min="4" max="4" width="7.44140625" bestFit="1" customWidth="1"/>
    <col min="5" max="5" width="9.44140625" hidden="1" customWidth="1"/>
    <col min="6" max="6" width="11.44140625" bestFit="1" customWidth="1"/>
    <col min="7" max="7" width="7.6640625" customWidth="1"/>
    <col min="8" max="8" width="8.88671875" bestFit="1" customWidth="1"/>
    <col min="9" max="9" width="11.109375" bestFit="1" customWidth="1"/>
    <col min="10" max="10" width="8.33203125" bestFit="1" customWidth="1"/>
    <col min="11" max="11" width="12.109375" bestFit="1" customWidth="1"/>
    <col min="12" max="12" width="10.33203125" customWidth="1"/>
    <col min="13" max="13" width="12.6640625" bestFit="1" customWidth="1"/>
    <col min="14" max="14" width="10.33203125" bestFit="1" customWidth="1"/>
    <col min="15" max="15" width="7.44140625" bestFit="1" customWidth="1"/>
    <col min="16" max="16" width="8.44140625" customWidth="1"/>
    <col min="17" max="17" width="7.5546875" bestFit="1" customWidth="1"/>
    <col min="18" max="19" width="7.6640625" customWidth="1"/>
    <col min="20" max="20" width="11.88671875" customWidth="1"/>
    <col min="21" max="21" width="9.44140625" customWidth="1"/>
    <col min="22" max="22" width="13.44140625" customWidth="1"/>
    <col min="23" max="23" width="12.6640625" customWidth="1"/>
    <col min="24" max="24" width="9.6640625" customWidth="1"/>
    <col min="25" max="25" width="1.6640625" customWidth="1"/>
    <col min="26" max="26" width="19.5546875" bestFit="1" customWidth="1"/>
    <col min="27" max="27" width="5.33203125" bestFit="1" customWidth="1"/>
    <col min="28" max="28" width="9.33203125" bestFit="1" customWidth="1"/>
    <col min="29" max="29" width="5.33203125" bestFit="1" customWidth="1"/>
    <col min="30" max="30" width="2" customWidth="1"/>
    <col min="32" max="32" width="11.33203125" bestFit="1" customWidth="1"/>
  </cols>
  <sheetData>
    <row r="1" spans="1:36" ht="18" x14ac:dyDescent="0.35">
      <c r="A1" s="187" t="s">
        <v>0</v>
      </c>
      <c r="B1" s="187"/>
      <c r="C1" s="187"/>
      <c r="D1" s="1"/>
      <c r="E1" s="1"/>
      <c r="F1" s="1"/>
      <c r="N1" s="2"/>
      <c r="P1" s="188"/>
      <c r="Q1" s="188"/>
      <c r="R1" s="188"/>
      <c r="S1" s="3"/>
      <c r="V1" s="4" t="s">
        <v>1</v>
      </c>
      <c r="W1" s="5">
        <v>12.85</v>
      </c>
      <c r="X1" s="6" t="s">
        <v>2</v>
      </c>
      <c r="Y1" s="7"/>
    </row>
    <row r="2" spans="1:36" x14ac:dyDescent="0.3">
      <c r="G2" s="189" t="s">
        <v>3</v>
      </c>
      <c r="H2" s="189"/>
      <c r="I2" s="189"/>
      <c r="J2" s="9">
        <f>'[2]Empaque (10)'!K2</f>
        <v>10</v>
      </c>
      <c r="L2" s="10"/>
      <c r="M2" s="10"/>
      <c r="N2" s="10"/>
      <c r="P2" s="11"/>
      <c r="Q2" s="12"/>
      <c r="R2" s="13"/>
      <c r="S2" s="6"/>
      <c r="V2" s="4" t="s">
        <v>4</v>
      </c>
      <c r="W2" s="5">
        <v>19.274999999999999</v>
      </c>
      <c r="X2" s="6" t="s">
        <v>2</v>
      </c>
    </row>
    <row r="3" spans="1:36" x14ac:dyDescent="0.3">
      <c r="A3" s="14" t="s">
        <v>5</v>
      </c>
      <c r="B3" s="190" t="s">
        <v>0</v>
      </c>
      <c r="C3" s="190"/>
      <c r="D3" s="190"/>
      <c r="E3" s="15"/>
      <c r="F3" s="15"/>
      <c r="L3" s="10"/>
      <c r="M3" s="10"/>
      <c r="N3" s="16"/>
      <c r="P3" s="4"/>
      <c r="Q3" s="17"/>
      <c r="R3" s="17"/>
      <c r="S3" s="6"/>
      <c r="V3" s="4" t="s">
        <v>6</v>
      </c>
      <c r="W3" s="5">
        <v>385.5</v>
      </c>
      <c r="X3" s="6" t="s">
        <v>2</v>
      </c>
    </row>
    <row r="4" spans="1:36" x14ac:dyDescent="0.3">
      <c r="A4" s="191" t="s">
        <v>7</v>
      </c>
      <c r="B4" s="191"/>
      <c r="C4" s="191"/>
      <c r="D4" s="1"/>
      <c r="E4" s="1"/>
      <c r="F4" s="1"/>
      <c r="G4" s="192">
        <f>'[2]Empaque (10)'!H4</f>
        <v>46155</v>
      </c>
      <c r="H4" s="192"/>
      <c r="I4" s="192"/>
      <c r="J4" s="192"/>
      <c r="L4" s="10"/>
      <c r="M4" s="18"/>
      <c r="N4" s="16"/>
      <c r="P4" s="1" t="s">
        <v>68</v>
      </c>
      <c r="Q4" s="19"/>
      <c r="R4" s="20"/>
      <c r="V4" s="4" t="s">
        <v>8</v>
      </c>
      <c r="W4" s="5">
        <v>11.363636363636363</v>
      </c>
      <c r="X4" s="6" t="s">
        <v>2</v>
      </c>
    </row>
    <row r="5" spans="1:36" ht="21.6" thickBot="1" x14ac:dyDescent="0.45">
      <c r="A5" s="14" t="s">
        <v>9</v>
      </c>
      <c r="B5" s="21" t="s">
        <v>10</v>
      </c>
      <c r="L5" s="10"/>
      <c r="M5" s="10"/>
      <c r="N5" s="16"/>
      <c r="P5" s="22">
        <v>36</v>
      </c>
      <c r="Q5" s="23"/>
      <c r="R5" s="20"/>
      <c r="V5" s="4" t="s">
        <v>11</v>
      </c>
      <c r="W5" s="5">
        <v>15</v>
      </c>
      <c r="X5" s="6" t="s">
        <v>2</v>
      </c>
      <c r="AG5" s="24"/>
      <c r="AH5" s="24"/>
      <c r="AI5" s="24"/>
    </row>
    <row r="6" spans="1:36" ht="15" customHeight="1" thickBot="1" x14ac:dyDescent="0.45">
      <c r="A6" s="194" t="s">
        <v>12</v>
      </c>
      <c r="B6" s="194" t="s">
        <v>13</v>
      </c>
      <c r="C6" s="196" t="s">
        <v>14</v>
      </c>
      <c r="D6" s="198" t="s">
        <v>15</v>
      </c>
      <c r="E6" s="25"/>
      <c r="F6" s="183" t="s">
        <v>16</v>
      </c>
      <c r="G6" s="184"/>
      <c r="H6" s="185"/>
      <c r="I6" s="26"/>
      <c r="J6" s="27"/>
      <c r="K6" s="186"/>
      <c r="N6" s="28"/>
      <c r="Q6" s="188"/>
      <c r="R6" s="188"/>
      <c r="V6" s="4" t="s">
        <v>17</v>
      </c>
      <c r="W6" s="5">
        <v>19.274999999999999</v>
      </c>
      <c r="X6" s="6" t="s">
        <v>2</v>
      </c>
      <c r="AG6" s="24"/>
      <c r="AH6" s="24"/>
      <c r="AI6" s="24"/>
    </row>
    <row r="7" spans="1:36" ht="15" thickBot="1" x14ac:dyDescent="0.35">
      <c r="A7" s="195"/>
      <c r="B7" s="195"/>
      <c r="C7" s="197"/>
      <c r="D7" s="199"/>
      <c r="E7" s="29" t="s">
        <v>18</v>
      </c>
      <c r="F7" s="30" t="s">
        <v>19</v>
      </c>
      <c r="G7" s="31" t="s">
        <v>20</v>
      </c>
      <c r="H7" s="32" t="s">
        <v>21</v>
      </c>
      <c r="I7" s="33" t="s">
        <v>22</v>
      </c>
      <c r="J7" s="34" t="s">
        <v>23</v>
      </c>
      <c r="K7" s="186"/>
      <c r="M7" s="35"/>
      <c r="N7" s="36"/>
      <c r="P7" s="11"/>
      <c r="Q7" s="3"/>
      <c r="R7" s="37"/>
      <c r="S7" s="38"/>
      <c r="T7" s="39">
        <v>0</v>
      </c>
      <c r="U7" s="39">
        <v>0</v>
      </c>
      <c r="V7" s="39">
        <v>1011</v>
      </c>
      <c r="W7" s="39">
        <v>76</v>
      </c>
      <c r="X7" s="39">
        <v>0</v>
      </c>
      <c r="Z7" s="200" t="s">
        <v>12</v>
      </c>
      <c r="AA7" s="194" t="s">
        <v>13</v>
      </c>
      <c r="AB7" s="196" t="s">
        <v>14</v>
      </c>
      <c r="AC7" s="202" t="s">
        <v>15</v>
      </c>
    </row>
    <row r="8" spans="1:36" ht="15" thickBot="1" x14ac:dyDescent="0.35">
      <c r="A8" s="193" t="s">
        <v>24</v>
      </c>
      <c r="B8" s="193"/>
      <c r="M8" s="8"/>
      <c r="N8" s="36"/>
      <c r="P8" s="11"/>
      <c r="Q8" s="3"/>
      <c r="R8" s="37"/>
      <c r="S8" s="38"/>
      <c r="T8" s="40" t="s">
        <v>25</v>
      </c>
      <c r="U8" s="40" t="s">
        <v>26</v>
      </c>
      <c r="V8" s="40" t="s">
        <v>27</v>
      </c>
      <c r="W8" s="40" t="s">
        <v>28</v>
      </c>
      <c r="X8" s="40" t="s">
        <v>29</v>
      </c>
      <c r="Z8" s="201"/>
      <c r="AA8" s="195"/>
      <c r="AB8" s="197"/>
      <c r="AC8" s="203"/>
      <c r="AH8" s="40" t="s">
        <v>16</v>
      </c>
      <c r="AI8" s="40"/>
      <c r="AJ8" s="40" t="s">
        <v>2</v>
      </c>
    </row>
    <row r="9" spans="1:36" ht="14.4" hidden="1" customHeight="1" x14ac:dyDescent="0.3">
      <c r="A9" s="41" t="str">
        <f>'[2]Empaque (10)'!A9</f>
        <v>Campo Gusto x 72</v>
      </c>
      <c r="B9" s="42" t="str">
        <f>'[2]Empaque (10)'!B9</f>
        <v>lb</v>
      </c>
      <c r="K9" s="43" t="s">
        <v>30</v>
      </c>
      <c r="L9" s="43" t="s">
        <v>31</v>
      </c>
      <c r="M9" s="43" t="s">
        <v>32</v>
      </c>
      <c r="N9" s="20"/>
      <c r="O9" s="20"/>
      <c r="Z9" s="41" t="str">
        <f>'[2]Empaque (10)'!AA9</f>
        <v>Campo Gusto x 72</v>
      </c>
      <c r="AA9" s="44" t="str">
        <f>'[2]Empaque (10)'!AB9</f>
        <v>lb</v>
      </c>
      <c r="AE9" s="6" t="s">
        <v>33</v>
      </c>
      <c r="AF9" s="45" t="e">
        <v>#DIV/0!</v>
      </c>
      <c r="AH9" s="40" t="s">
        <v>20</v>
      </c>
      <c r="AI9" s="40" t="s">
        <v>21</v>
      </c>
    </row>
    <row r="10" spans="1:36" ht="14.4" hidden="1" customHeight="1" x14ac:dyDescent="0.3">
      <c r="A10" s="46" t="str">
        <f>'[2]Empaque (10)'!A10</f>
        <v>Jb</v>
      </c>
      <c r="B10" s="47">
        <f>'[2]Empaque (10)'!B10</f>
        <v>25</v>
      </c>
      <c r="C10" s="48">
        <f>'[2]Empaque (10)'!C10</f>
        <v>0</v>
      </c>
      <c r="D10" s="49" t="str">
        <f>'[2]Empaque (10)'!D10</f>
        <v/>
      </c>
      <c r="E10" s="50">
        <f>'[2]Empaque (10)'!F10</f>
        <v>0</v>
      </c>
      <c r="F10" s="51">
        <f>'[2]Empaque (10)'!G10</f>
        <v>0</v>
      </c>
      <c r="G10" s="52">
        <f>'[2]Empaque (10)'!H10</f>
        <v>0</v>
      </c>
      <c r="H10" s="48">
        <f>'[2]Empaque (10)'!I10</f>
        <v>0</v>
      </c>
      <c r="I10" s="53">
        <f>'[2]Empaque (10)'!J10</f>
        <v>0</v>
      </c>
      <c r="J10" s="54">
        <f>'[2]Empaque (10)'!K10</f>
        <v>0</v>
      </c>
      <c r="K10" s="55"/>
      <c r="L10" s="56">
        <f>IF(C10=0+E10-F10,0,(K10-#REF!)-(K10*#REF!))</f>
        <v>0</v>
      </c>
      <c r="M10" s="55">
        <f t="shared" ref="M10:M15" si="0">(C10+E10-F10)*L10</f>
        <v>0</v>
      </c>
      <c r="N10" s="57"/>
      <c r="P10" s="58">
        <v>0</v>
      </c>
      <c r="S10" s="10"/>
      <c r="T10" s="59">
        <v>0</v>
      </c>
      <c r="U10" s="59">
        <v>0</v>
      </c>
      <c r="V10" s="59">
        <v>0</v>
      </c>
      <c r="W10" s="59">
        <v>0</v>
      </c>
      <c r="X10" s="59">
        <v>0</v>
      </c>
      <c r="Z10" s="60" t="str">
        <f>'[2]Empaque (10)'!AA10</f>
        <v>Jb</v>
      </c>
      <c r="AA10" s="61">
        <f>'[2]Empaque (10)'!AB10</f>
        <v>25</v>
      </c>
      <c r="AB10" s="62">
        <f>'[2]Empaque (10)'!AC10</f>
        <v>0</v>
      </c>
      <c r="AC10" s="63">
        <f>'[2]Empaque (10)'!AD10</f>
        <v>0</v>
      </c>
      <c r="AG10" s="64"/>
      <c r="AH10" s="65">
        <v>0</v>
      </c>
      <c r="AI10" s="65">
        <v>0</v>
      </c>
    </row>
    <row r="11" spans="1:36" ht="14.4" hidden="1" customHeight="1" x14ac:dyDescent="0.3">
      <c r="A11" s="46" t="str">
        <f>'[2]Empaque (10)'!A11</f>
        <v>Xl</v>
      </c>
      <c r="B11" s="66">
        <f>'[2]Empaque (10)'!B11</f>
        <v>25</v>
      </c>
      <c r="C11" s="67">
        <f>'[2]Empaque (10)'!C11</f>
        <v>0</v>
      </c>
      <c r="D11" s="49" t="str">
        <f>'[2]Empaque (10)'!D11</f>
        <v/>
      </c>
      <c r="E11" s="50">
        <f>'[2]Empaque (10)'!F11</f>
        <v>0</v>
      </c>
      <c r="F11" s="51">
        <f>'[2]Empaque (10)'!G11</f>
        <v>0</v>
      </c>
      <c r="G11" s="68">
        <f>'[2]Empaque (10)'!H11</f>
        <v>0</v>
      </c>
      <c r="H11" s="67">
        <f>'[2]Empaque (10)'!I11</f>
        <v>0</v>
      </c>
      <c r="I11" s="53">
        <f>'[2]Empaque (10)'!J11</f>
        <v>0</v>
      </c>
      <c r="J11" s="54">
        <f>'[2]Empaque (10)'!K11</f>
        <v>0</v>
      </c>
      <c r="K11" s="69"/>
      <c r="L11" s="70">
        <f>IF(C11=0+E11-F11,0,(K11-#REF!)-(K11*#REF!))</f>
        <v>0</v>
      </c>
      <c r="M11" s="69">
        <f t="shared" si="0"/>
        <v>0</v>
      </c>
      <c r="N11" s="71"/>
      <c r="P11" s="58">
        <v>0</v>
      </c>
      <c r="S11" s="10"/>
      <c r="Z11" s="60" t="str">
        <f>'[2]Empaque (10)'!AA11</f>
        <v>Xl</v>
      </c>
      <c r="AA11" s="72">
        <f>'[2]Empaque (10)'!AB11</f>
        <v>25</v>
      </c>
      <c r="AB11" s="62">
        <f>'[2]Empaque (10)'!AC11</f>
        <v>0</v>
      </c>
      <c r="AC11" s="63">
        <f>'[2]Empaque (10)'!AD11</f>
        <v>0</v>
      </c>
      <c r="AG11" s="73"/>
      <c r="AH11" s="74">
        <v>0</v>
      </c>
      <c r="AI11" s="74">
        <v>0</v>
      </c>
    </row>
    <row r="12" spans="1:36" ht="14.4" hidden="1" customHeight="1" x14ac:dyDescent="0.3">
      <c r="A12" s="46" t="str">
        <f>'[2]Empaque (10)'!A12</f>
        <v>Lg</v>
      </c>
      <c r="B12" s="47">
        <f>'[2]Empaque (10)'!B12</f>
        <v>25</v>
      </c>
      <c r="C12" s="67">
        <f>'[2]Empaque (10)'!C12</f>
        <v>0</v>
      </c>
      <c r="D12" s="49" t="str">
        <f>'[2]Empaque (10)'!D12</f>
        <v/>
      </c>
      <c r="E12" s="50">
        <f>'[2]Empaque (10)'!F12</f>
        <v>0</v>
      </c>
      <c r="F12" s="51">
        <f>'[2]Empaque (10)'!G12</f>
        <v>0</v>
      </c>
      <c r="G12" s="68">
        <f>'[2]Empaque (10)'!H12</f>
        <v>0</v>
      </c>
      <c r="H12" s="67">
        <f>'[2]Empaque (10)'!I12</f>
        <v>0</v>
      </c>
      <c r="I12" s="53">
        <f>'[2]Empaque (10)'!J12</f>
        <v>0</v>
      </c>
      <c r="J12" s="54">
        <f>'[2]Empaque (10)'!K12</f>
        <v>0</v>
      </c>
      <c r="K12" s="69"/>
      <c r="L12" s="70">
        <f>IF(C12=0+E12-F12,0,(K12-#REF!)-(K12*#REF!))</f>
        <v>0</v>
      </c>
      <c r="M12" s="69">
        <f t="shared" si="0"/>
        <v>0</v>
      </c>
      <c r="N12" s="75"/>
      <c r="P12" s="58">
        <v>0</v>
      </c>
      <c r="S12" s="10"/>
      <c r="Z12" s="60" t="str">
        <f>'[2]Empaque (10)'!AA12</f>
        <v>Lg</v>
      </c>
      <c r="AA12" s="61">
        <f>'[2]Empaque (10)'!AB12</f>
        <v>25</v>
      </c>
      <c r="AB12" s="62">
        <f>'[2]Empaque (10)'!AC12</f>
        <v>0</v>
      </c>
      <c r="AC12" s="63">
        <f>'[2]Empaque (10)'!AD12</f>
        <v>0</v>
      </c>
      <c r="AG12" s="73"/>
      <c r="AH12" s="74">
        <v>0</v>
      </c>
      <c r="AI12" s="74">
        <v>0</v>
      </c>
    </row>
    <row r="13" spans="1:36" ht="14.4" hidden="1" customHeight="1" x14ac:dyDescent="0.3">
      <c r="A13" s="46" t="str">
        <f>'[2]Empaque (10)'!A13</f>
        <v>Md</v>
      </c>
      <c r="B13" s="66">
        <f>'[2]Empaque (10)'!B13</f>
        <v>25</v>
      </c>
      <c r="C13" s="67">
        <f>'[2]Empaque (10)'!C13</f>
        <v>0</v>
      </c>
      <c r="D13" s="49" t="str">
        <f>'[2]Empaque (10)'!D13</f>
        <v/>
      </c>
      <c r="E13" s="50">
        <f>'[2]Empaque (10)'!F13</f>
        <v>0</v>
      </c>
      <c r="F13" s="51">
        <f>'[2]Empaque (10)'!G13</f>
        <v>0</v>
      </c>
      <c r="G13" s="68">
        <f>'[2]Empaque (10)'!H13</f>
        <v>0</v>
      </c>
      <c r="H13" s="67">
        <f>'[2]Empaque (10)'!I13</f>
        <v>0</v>
      </c>
      <c r="I13" s="53">
        <f>'[2]Empaque (10)'!J13</f>
        <v>0</v>
      </c>
      <c r="J13" s="54">
        <f>'[2]Empaque (10)'!K13</f>
        <v>0</v>
      </c>
      <c r="K13" s="69"/>
      <c r="L13" s="70">
        <f>IF(C13=0+E13-F13,0,(K13-#REF!)-(K13*#REF!))</f>
        <v>0</v>
      </c>
      <c r="M13" s="69">
        <f t="shared" si="0"/>
        <v>0</v>
      </c>
      <c r="N13" s="76"/>
      <c r="P13" s="58">
        <v>0</v>
      </c>
      <c r="S13" s="10"/>
      <c r="Z13" s="60" t="str">
        <f>'[2]Empaque (10)'!AA13</f>
        <v>Md</v>
      </c>
      <c r="AA13" s="72">
        <f>'[2]Empaque (10)'!AB13</f>
        <v>25</v>
      </c>
      <c r="AB13" s="62">
        <f>'[2]Empaque (10)'!AC13</f>
        <v>0</v>
      </c>
      <c r="AC13" s="63">
        <f>'[2]Empaque (10)'!AD13</f>
        <v>0</v>
      </c>
      <c r="AG13" s="73"/>
      <c r="AH13" s="74">
        <v>0</v>
      </c>
      <c r="AI13" s="74">
        <v>0</v>
      </c>
    </row>
    <row r="14" spans="1:36" ht="14.4" hidden="1" customHeight="1" x14ac:dyDescent="0.3">
      <c r="A14" s="46" t="str">
        <f>'[2]Empaque (10)'!A14</f>
        <v>Sm</v>
      </c>
      <c r="B14" s="47">
        <f>'[2]Empaque (10)'!B14</f>
        <v>25</v>
      </c>
      <c r="C14" s="67">
        <f>'[2]Empaque (10)'!C14</f>
        <v>0</v>
      </c>
      <c r="D14" s="49" t="str">
        <f>'[2]Empaque (10)'!D14</f>
        <v/>
      </c>
      <c r="E14" s="50">
        <f>'[2]Empaque (10)'!F14</f>
        <v>0</v>
      </c>
      <c r="F14" s="51">
        <f>'[2]Empaque (10)'!G14</f>
        <v>0</v>
      </c>
      <c r="G14" s="68">
        <f>'[2]Empaque (10)'!H14</f>
        <v>0</v>
      </c>
      <c r="H14" s="67">
        <f>'[2]Empaque (10)'!I14</f>
        <v>0</v>
      </c>
      <c r="I14" s="53">
        <f>'[2]Empaque (10)'!J14</f>
        <v>0</v>
      </c>
      <c r="J14" s="54">
        <f>'[2]Empaque (10)'!K14</f>
        <v>0</v>
      </c>
      <c r="K14" s="69"/>
      <c r="L14" s="70">
        <f>IF(C14=0+E14-F14,0,(K14-#REF!)-(K14*#REF!))</f>
        <v>0</v>
      </c>
      <c r="M14" s="69">
        <f t="shared" si="0"/>
        <v>0</v>
      </c>
      <c r="N14" s="76"/>
      <c r="P14" s="58">
        <v>0</v>
      </c>
      <c r="S14" s="10"/>
      <c r="Z14" s="60" t="str">
        <f>'[2]Empaque (10)'!AA14</f>
        <v>Sm</v>
      </c>
      <c r="AA14" s="61">
        <f>'[2]Empaque (10)'!AB14</f>
        <v>25</v>
      </c>
      <c r="AB14" s="77">
        <f>'[2]Empaque (10)'!AC14</f>
        <v>0</v>
      </c>
      <c r="AC14" s="63">
        <f>'[2]Empaque (10)'!AD14</f>
        <v>0</v>
      </c>
      <c r="AG14" s="64"/>
      <c r="AH14" s="78">
        <v>0</v>
      </c>
      <c r="AI14" s="78">
        <v>0</v>
      </c>
    </row>
    <row r="15" spans="1:36" ht="15" hidden="1" customHeight="1" thickBot="1" x14ac:dyDescent="0.35">
      <c r="A15" s="79" t="str">
        <f>'[2]Empaque (10)'!A15</f>
        <v>Mixto</v>
      </c>
      <c r="B15" s="80">
        <f>'[2]Empaque (10)'!B15</f>
        <v>25</v>
      </c>
      <c r="C15" s="81">
        <f>'[2]Empaque (10)'!C15</f>
        <v>0</v>
      </c>
      <c r="D15" s="82" t="str">
        <f>'[2]Empaque (10)'!D15</f>
        <v/>
      </c>
      <c r="E15" s="83">
        <f>'[2]Empaque (10)'!F15</f>
        <v>0</v>
      </c>
      <c r="F15" s="84">
        <f>'[2]Empaque (10)'!G15</f>
        <v>0</v>
      </c>
      <c r="G15" s="85">
        <f>'[2]Empaque (10)'!H15</f>
        <v>0</v>
      </c>
      <c r="H15" s="81">
        <f>'[2]Empaque (10)'!I15</f>
        <v>0</v>
      </c>
      <c r="I15" s="86">
        <f>'[2]Empaque (10)'!J15</f>
        <v>0</v>
      </c>
      <c r="J15" s="87">
        <f>'[2]Empaque (10)'!K15</f>
        <v>0</v>
      </c>
      <c r="K15" s="88"/>
      <c r="L15" s="89">
        <f>IF(C15=0+E15-F15,0,(K15-#REF!)-(K15*#REF!))</f>
        <v>0</v>
      </c>
      <c r="M15" s="88">
        <f t="shared" si="0"/>
        <v>0</v>
      </c>
      <c r="N15" s="43"/>
      <c r="P15" s="58">
        <v>0</v>
      </c>
      <c r="S15" s="10"/>
      <c r="Z15" s="90" t="str">
        <f>'[2]Empaque (10)'!AA15</f>
        <v>xs</v>
      </c>
      <c r="AA15" s="91">
        <f>'[2]Empaque (10)'!AB15</f>
        <v>25</v>
      </c>
      <c r="AB15" s="92">
        <f>'[2]Empaque (10)'!AC15</f>
        <v>0</v>
      </c>
      <c r="AC15" s="93">
        <f>'[2]Empaque (10)'!AD15</f>
        <v>0</v>
      </c>
      <c r="AG15" s="94"/>
      <c r="AH15" s="95">
        <v>0</v>
      </c>
      <c r="AI15" s="95">
        <v>0</v>
      </c>
    </row>
    <row r="16" spans="1:36" ht="15" hidden="1" customHeight="1" thickTop="1" x14ac:dyDescent="0.3">
      <c r="C16" s="96">
        <f>'[2]Empaque (10)'!C16</f>
        <v>0</v>
      </c>
      <c r="D16" s="97" t="str">
        <f>'[2]Empaque (10)'!D16</f>
        <v/>
      </c>
      <c r="E16" s="98">
        <f>'[2]Empaque (10)'!F16</f>
        <v>0</v>
      </c>
      <c r="F16" s="99">
        <f>'[2]Empaque (10)'!G16</f>
        <v>0</v>
      </c>
      <c r="G16" s="100">
        <f>'[2]Empaque (10)'!H16</f>
        <v>0</v>
      </c>
      <c r="H16" s="100">
        <f>'[2]Empaque (10)'!I16</f>
        <v>0</v>
      </c>
      <c r="I16" s="100">
        <f>'[2]Empaque (10)'!J16</f>
        <v>0</v>
      </c>
      <c r="J16" s="101">
        <f>'[2]Empaque (10)'!K16</f>
        <v>0</v>
      </c>
      <c r="K16" s="102">
        <f>IFERROR((C10*K10+C11*K11+C12*K12+C13*K13+C14*K14+C15*K15)/C16,0)</f>
        <v>0</v>
      </c>
      <c r="L16" s="103">
        <f>IFERROR(M16/C16,0)</f>
        <v>0</v>
      </c>
      <c r="M16" s="103">
        <f>SUM(M10:M15)</f>
        <v>0</v>
      </c>
      <c r="P16" s="58"/>
      <c r="S16" s="10"/>
      <c r="AA16" s="104"/>
      <c r="AB16" s="105">
        <f>'[2]Empaque (10)'!AC16</f>
        <v>0</v>
      </c>
      <c r="AC16" s="106">
        <f>'[2]Empaque (10)'!AD16</f>
        <v>0</v>
      </c>
      <c r="AH16" s="107">
        <v>0</v>
      </c>
      <c r="AI16" s="107">
        <v>0</v>
      </c>
      <c r="AJ16" s="108">
        <v>0</v>
      </c>
    </row>
    <row r="17" spans="1:36" ht="15" hidden="1" customHeight="1" x14ac:dyDescent="0.3">
      <c r="A17" s="41" t="str">
        <f>'[2]Empaque (10)'!A17</f>
        <v>H2E (2da) x 72</v>
      </c>
      <c r="B17" s="42" t="str">
        <f>'[2]Empaque (10)'!B17</f>
        <v>lb</v>
      </c>
      <c r="C17" s="109"/>
      <c r="E17" s="109"/>
      <c r="G17" s="109"/>
      <c r="I17" s="109"/>
      <c r="J17" s="110"/>
      <c r="K17" s="43" t="s">
        <v>30</v>
      </c>
      <c r="L17" s="43" t="s">
        <v>31</v>
      </c>
      <c r="M17" s="43" t="s">
        <v>32</v>
      </c>
      <c r="N17" s="20"/>
      <c r="O17" s="20"/>
      <c r="P17" s="58"/>
      <c r="S17" s="10"/>
      <c r="Z17" s="41" t="str">
        <f>'[2]Empaque (10)'!AA17</f>
        <v>H2E (2da) x 72</v>
      </c>
      <c r="AA17" s="44" t="str">
        <f>'[2]Empaque (10)'!AB17</f>
        <v>lb</v>
      </c>
      <c r="AE17" s="6" t="s">
        <v>33</v>
      </c>
      <c r="AF17" s="45" t="e">
        <v>#DIV/0!</v>
      </c>
      <c r="AH17" s="76"/>
      <c r="AI17" s="76"/>
    </row>
    <row r="18" spans="1:36" ht="14.4" hidden="1" customHeight="1" x14ac:dyDescent="0.3">
      <c r="A18" s="46" t="str">
        <f>'[2]Empaque (10)'!A18</f>
        <v>Jb</v>
      </c>
      <c r="B18" s="47">
        <f>'[2]Empaque (10)'!B18</f>
        <v>25</v>
      </c>
      <c r="C18" s="48">
        <f>'[2]Empaque (10)'!C18</f>
        <v>0</v>
      </c>
      <c r="D18" s="49" t="str">
        <f>'[2]Empaque (10)'!D18</f>
        <v/>
      </c>
      <c r="E18" s="50">
        <f>'[2]Empaque (10)'!F18</f>
        <v>0</v>
      </c>
      <c r="F18" s="51">
        <f>'[2]Empaque (10)'!G18</f>
        <v>0</v>
      </c>
      <c r="G18" s="52">
        <f>'[2]Empaque (10)'!H18</f>
        <v>0</v>
      </c>
      <c r="H18" s="48">
        <f>'[2]Empaque (10)'!I18</f>
        <v>0</v>
      </c>
      <c r="I18" s="53">
        <f>'[2]Empaque (10)'!J18</f>
        <v>0</v>
      </c>
      <c r="J18" s="54">
        <f>'[2]Empaque (10)'!K18</f>
        <v>0</v>
      </c>
      <c r="K18" s="55"/>
      <c r="L18" s="55">
        <f>IF(C18+E18-F18=0,0,(K18-#REF!)-(K18*#REF!))</f>
        <v>0</v>
      </c>
      <c r="M18" s="55">
        <f t="shared" ref="M18:M23" si="1">(C18+E18-F18)*L18</f>
        <v>0</v>
      </c>
      <c r="N18" s="57"/>
      <c r="P18" s="58">
        <v>0</v>
      </c>
      <c r="S18" s="10"/>
      <c r="T18" s="59">
        <v>0</v>
      </c>
      <c r="U18" s="59">
        <v>0</v>
      </c>
      <c r="V18" s="59">
        <v>0</v>
      </c>
      <c r="W18" s="59">
        <v>0</v>
      </c>
      <c r="X18" s="59">
        <v>0</v>
      </c>
      <c r="Z18" s="60" t="str">
        <f>'[2]Empaque (10)'!AA18</f>
        <v>Jb</v>
      </c>
      <c r="AA18" s="61">
        <f>'[2]Empaque (10)'!AB18</f>
        <v>25</v>
      </c>
      <c r="AB18" s="62">
        <f>'[2]Empaque (10)'!AC18</f>
        <v>0</v>
      </c>
      <c r="AC18" s="63">
        <f>'[2]Empaque (10)'!AD18</f>
        <v>0</v>
      </c>
      <c r="AG18" s="64"/>
      <c r="AH18" s="65">
        <v>0</v>
      </c>
      <c r="AI18" s="65">
        <v>0</v>
      </c>
    </row>
    <row r="19" spans="1:36" ht="14.4" hidden="1" customHeight="1" x14ac:dyDescent="0.3">
      <c r="A19" s="46" t="str">
        <f>'[2]Empaque (10)'!A19</f>
        <v>Xl</v>
      </c>
      <c r="B19" s="66">
        <f>'[2]Empaque (10)'!B19</f>
        <v>25</v>
      </c>
      <c r="C19" s="67">
        <f>'[2]Empaque (10)'!C19</f>
        <v>0</v>
      </c>
      <c r="D19" s="49" t="str">
        <f>'[2]Empaque (10)'!D19</f>
        <v/>
      </c>
      <c r="E19" s="50">
        <f>'[2]Empaque (10)'!F19</f>
        <v>0</v>
      </c>
      <c r="F19" s="51">
        <f>'[2]Empaque (10)'!G19</f>
        <v>0</v>
      </c>
      <c r="G19" s="68">
        <f>'[2]Empaque (10)'!H19</f>
        <v>0</v>
      </c>
      <c r="H19" s="67">
        <f>'[2]Empaque (10)'!I19</f>
        <v>0</v>
      </c>
      <c r="I19" s="53">
        <f>'[2]Empaque (10)'!J19</f>
        <v>0</v>
      </c>
      <c r="J19" s="54">
        <f>'[2]Empaque (10)'!K19</f>
        <v>0</v>
      </c>
      <c r="K19" s="69"/>
      <c r="L19" s="69">
        <f>IF(C19+E19-F19=0,0,(K19-#REF!)-(K19*#REF!))</f>
        <v>0</v>
      </c>
      <c r="M19" s="69">
        <f t="shared" si="1"/>
        <v>0</v>
      </c>
      <c r="N19" s="71"/>
      <c r="P19" s="58">
        <v>0</v>
      </c>
      <c r="S19" s="10"/>
      <c r="Z19" s="60" t="str">
        <f>'[2]Empaque (10)'!AA19</f>
        <v>Xl</v>
      </c>
      <c r="AA19" s="72">
        <f>'[2]Empaque (10)'!AB19</f>
        <v>25</v>
      </c>
      <c r="AB19" s="62">
        <f>'[2]Empaque (10)'!AC19</f>
        <v>0</v>
      </c>
      <c r="AC19" s="63">
        <f>'[2]Empaque (10)'!AD19</f>
        <v>0</v>
      </c>
      <c r="AG19" s="73"/>
      <c r="AH19" s="74">
        <v>0</v>
      </c>
      <c r="AI19" s="74">
        <v>0</v>
      </c>
    </row>
    <row r="20" spans="1:36" ht="14.4" hidden="1" customHeight="1" x14ac:dyDescent="0.3">
      <c r="A20" s="46" t="str">
        <f>'[2]Empaque (10)'!A20</f>
        <v>Lg</v>
      </c>
      <c r="B20" s="47">
        <f>'[2]Empaque (10)'!B20</f>
        <v>25</v>
      </c>
      <c r="C20" s="67">
        <f>'[2]Empaque (10)'!C20</f>
        <v>0</v>
      </c>
      <c r="D20" s="49" t="str">
        <f>'[2]Empaque (10)'!D20</f>
        <v/>
      </c>
      <c r="E20" s="50">
        <f>'[2]Empaque (10)'!F20</f>
        <v>0</v>
      </c>
      <c r="F20" s="51">
        <f>'[2]Empaque (10)'!G20</f>
        <v>0</v>
      </c>
      <c r="G20" s="68">
        <f>'[2]Empaque (10)'!H20</f>
        <v>0</v>
      </c>
      <c r="H20" s="67">
        <f>'[2]Empaque (10)'!I20</f>
        <v>0</v>
      </c>
      <c r="I20" s="53">
        <f>'[2]Empaque (10)'!J20</f>
        <v>0</v>
      </c>
      <c r="J20" s="54">
        <f>'[2]Empaque (10)'!K20</f>
        <v>0</v>
      </c>
      <c r="K20" s="69"/>
      <c r="L20" s="69">
        <f>IF(C20+E20-F20=0,0,(K20-#REF!)-(K20*#REF!))</f>
        <v>0</v>
      </c>
      <c r="M20" s="69">
        <f t="shared" si="1"/>
        <v>0</v>
      </c>
      <c r="N20" s="75"/>
      <c r="P20" s="58">
        <v>0</v>
      </c>
      <c r="S20" s="10"/>
      <c r="Z20" s="60" t="str">
        <f>'[2]Empaque (10)'!AA20</f>
        <v>Lg</v>
      </c>
      <c r="AA20" s="61">
        <f>'[2]Empaque (10)'!AB20</f>
        <v>25</v>
      </c>
      <c r="AB20" s="62">
        <f>'[2]Empaque (10)'!AC20</f>
        <v>0</v>
      </c>
      <c r="AC20" s="63">
        <f>'[2]Empaque (10)'!AD20</f>
        <v>0</v>
      </c>
      <c r="AG20" s="73"/>
      <c r="AH20" s="74">
        <v>0</v>
      </c>
      <c r="AI20" s="74">
        <v>0</v>
      </c>
    </row>
    <row r="21" spans="1:36" ht="14.4" hidden="1" customHeight="1" x14ac:dyDescent="0.3">
      <c r="A21" s="46" t="str">
        <f>'[2]Empaque (10)'!A21</f>
        <v>Md</v>
      </c>
      <c r="B21" s="66">
        <f>'[2]Empaque (10)'!B21</f>
        <v>25</v>
      </c>
      <c r="C21" s="67">
        <f>'[2]Empaque (10)'!C21</f>
        <v>0</v>
      </c>
      <c r="D21" s="49" t="str">
        <f>'[2]Empaque (10)'!D21</f>
        <v/>
      </c>
      <c r="E21" s="50">
        <f>'[2]Empaque (10)'!F21</f>
        <v>0</v>
      </c>
      <c r="F21" s="51">
        <f>'[2]Empaque (10)'!G21</f>
        <v>0</v>
      </c>
      <c r="G21" s="68">
        <f>'[2]Empaque (10)'!H21</f>
        <v>0</v>
      </c>
      <c r="H21" s="67">
        <f>'[2]Empaque (10)'!I21</f>
        <v>0</v>
      </c>
      <c r="I21" s="53">
        <f>'[2]Empaque (10)'!J21</f>
        <v>0</v>
      </c>
      <c r="J21" s="54">
        <f>'[2]Empaque (10)'!K21</f>
        <v>0</v>
      </c>
      <c r="K21" s="69"/>
      <c r="L21" s="69">
        <f>IF(C21+E21-F21=0,0,(K21-#REF!)-(K21*#REF!))</f>
        <v>0</v>
      </c>
      <c r="M21" s="69">
        <f t="shared" si="1"/>
        <v>0</v>
      </c>
      <c r="N21" s="76"/>
      <c r="P21" s="58">
        <v>0</v>
      </c>
      <c r="S21" s="10"/>
      <c r="Z21" s="60" t="str">
        <f>'[2]Empaque (10)'!AA21</f>
        <v>Md</v>
      </c>
      <c r="AA21" s="72">
        <f>'[2]Empaque (10)'!AB21</f>
        <v>25</v>
      </c>
      <c r="AB21" s="62">
        <f>'[2]Empaque (10)'!AC21</f>
        <v>0</v>
      </c>
      <c r="AC21" s="63">
        <f>'[2]Empaque (10)'!AD21</f>
        <v>0</v>
      </c>
      <c r="AG21" s="73"/>
      <c r="AH21" s="74">
        <v>0</v>
      </c>
      <c r="AI21" s="74">
        <v>0</v>
      </c>
    </row>
    <row r="22" spans="1:36" ht="15" hidden="1" customHeight="1" x14ac:dyDescent="0.3">
      <c r="A22" s="46" t="str">
        <f>'[2]Empaque (10)'!A22</f>
        <v>Sm</v>
      </c>
      <c r="B22" s="47">
        <f>'[2]Empaque (10)'!B22</f>
        <v>25</v>
      </c>
      <c r="C22" s="67">
        <f>'[2]Empaque (10)'!C22</f>
        <v>0</v>
      </c>
      <c r="D22" s="49" t="str">
        <f>'[2]Empaque (10)'!D22</f>
        <v/>
      </c>
      <c r="E22" s="50">
        <f>'[2]Empaque (10)'!F22</f>
        <v>0</v>
      </c>
      <c r="F22" s="51">
        <f>'[2]Empaque (10)'!G22</f>
        <v>0</v>
      </c>
      <c r="G22" s="68">
        <f>'[2]Empaque (10)'!H22</f>
        <v>0</v>
      </c>
      <c r="H22" s="67">
        <f>'[2]Empaque (10)'!I22</f>
        <v>0</v>
      </c>
      <c r="I22" s="53">
        <f>'[2]Empaque (10)'!J22</f>
        <v>0</v>
      </c>
      <c r="J22" s="54">
        <f>'[2]Empaque (10)'!K22</f>
        <v>0</v>
      </c>
      <c r="K22" s="69"/>
      <c r="L22" s="69">
        <f>IF(C22+E22-F22=0,0,(K22-#REF!)-(K22*#REF!))</f>
        <v>0</v>
      </c>
      <c r="M22" s="69">
        <f t="shared" si="1"/>
        <v>0</v>
      </c>
      <c r="N22" s="76"/>
      <c r="P22" s="58">
        <v>0</v>
      </c>
      <c r="S22" s="10"/>
      <c r="Z22" s="60" t="str">
        <f>'[2]Empaque (10)'!AA22</f>
        <v>Sm</v>
      </c>
      <c r="AA22" s="61">
        <f>'[2]Empaque (10)'!AB22</f>
        <v>25</v>
      </c>
      <c r="AB22" s="77">
        <f>'[2]Empaque (10)'!AC22</f>
        <v>0</v>
      </c>
      <c r="AC22" s="63">
        <f>'[2]Empaque (10)'!AD22</f>
        <v>0</v>
      </c>
      <c r="AG22" s="64"/>
      <c r="AH22" s="78">
        <v>0</v>
      </c>
      <c r="AI22" s="78">
        <v>0</v>
      </c>
    </row>
    <row r="23" spans="1:36" ht="15.75" hidden="1" customHeight="1" thickBot="1" x14ac:dyDescent="0.35">
      <c r="A23" s="79" t="str">
        <f>'[2]Empaque (10)'!A23</f>
        <v>Mixto</v>
      </c>
      <c r="B23" s="80">
        <f>'[2]Empaque (10)'!B23</f>
        <v>25</v>
      </c>
      <c r="C23" s="81">
        <f>'[2]Empaque (10)'!C23</f>
        <v>0</v>
      </c>
      <c r="D23" s="82" t="str">
        <f>'[2]Empaque (10)'!D23</f>
        <v/>
      </c>
      <c r="E23" s="83">
        <f>'[2]Empaque (10)'!F23</f>
        <v>0</v>
      </c>
      <c r="F23" s="84">
        <f>'[2]Empaque (10)'!G23</f>
        <v>0</v>
      </c>
      <c r="G23" s="85">
        <f>'[2]Empaque (10)'!H23</f>
        <v>0</v>
      </c>
      <c r="H23" s="81">
        <f>'[2]Empaque (10)'!I23</f>
        <v>0</v>
      </c>
      <c r="I23" s="86">
        <f>'[2]Empaque (10)'!J23</f>
        <v>0</v>
      </c>
      <c r="J23" s="87">
        <f>'[2]Empaque (10)'!K23</f>
        <v>0</v>
      </c>
      <c r="K23" s="88"/>
      <c r="L23" s="88">
        <f>IF(C23+E23-F23=0,0,(K23-#REF!)-(K23*#REF!))</f>
        <v>0</v>
      </c>
      <c r="M23" s="88">
        <f t="shared" si="1"/>
        <v>0</v>
      </c>
      <c r="N23" s="43"/>
      <c r="O23" s="43"/>
      <c r="P23" s="58">
        <v>0</v>
      </c>
      <c r="S23" s="10"/>
      <c r="Z23" s="90" t="str">
        <f>'[2]Empaque (10)'!AA23</f>
        <v>xs</v>
      </c>
      <c r="AA23" s="91">
        <f>'[2]Empaque (10)'!AB23</f>
        <v>25</v>
      </c>
      <c r="AB23" s="92">
        <f>'[2]Empaque (10)'!AC23</f>
        <v>0</v>
      </c>
      <c r="AC23" s="93">
        <f>'[2]Empaque (10)'!AD23</f>
        <v>0</v>
      </c>
      <c r="AG23" s="94"/>
      <c r="AH23" s="95">
        <v>0</v>
      </c>
      <c r="AI23" s="95">
        <v>0</v>
      </c>
    </row>
    <row r="24" spans="1:36" ht="15.75" hidden="1" customHeight="1" thickTop="1" x14ac:dyDescent="0.3">
      <c r="C24" s="96">
        <f>'[2]Empaque (10)'!C24</f>
        <v>0</v>
      </c>
      <c r="D24" s="97" t="str">
        <f>'[2]Empaque (10)'!D24</f>
        <v/>
      </c>
      <c r="E24" s="98">
        <f>'[2]Empaque (10)'!F24</f>
        <v>0</v>
      </c>
      <c r="F24" s="99">
        <f>'[2]Empaque (10)'!G24</f>
        <v>0</v>
      </c>
      <c r="G24" s="100">
        <f>'[2]Empaque (10)'!H24</f>
        <v>0</v>
      </c>
      <c r="H24" s="100">
        <f>'[2]Empaque (10)'!I24</f>
        <v>0</v>
      </c>
      <c r="I24" s="100">
        <f>'[2]Empaque (10)'!J24</f>
        <v>0</v>
      </c>
      <c r="J24" s="101">
        <f>'[2]Empaque (10)'!K24</f>
        <v>0</v>
      </c>
      <c r="K24" s="102">
        <f>IFERROR((C18*K18+C19*K19+C20*K20+C21*K21+C22*K22+C23*K23)/C24,0)</f>
        <v>0</v>
      </c>
      <c r="L24" s="103">
        <f>IFERROR(M24/C24,0)</f>
        <v>0</v>
      </c>
      <c r="M24" s="103">
        <f>SUM(M18:M23)</f>
        <v>0</v>
      </c>
      <c r="N24" s="55"/>
      <c r="O24" s="55"/>
      <c r="P24" s="58"/>
      <c r="S24" s="10"/>
      <c r="AA24" s="104"/>
      <c r="AB24" s="105">
        <f>'[2]Empaque (10)'!AC24</f>
        <v>0</v>
      </c>
      <c r="AC24" s="106">
        <f>'[2]Empaque (10)'!AD24</f>
        <v>0</v>
      </c>
      <c r="AH24" s="107">
        <v>0</v>
      </c>
      <c r="AI24" s="107">
        <v>0</v>
      </c>
      <c r="AJ24" s="108">
        <v>0</v>
      </c>
    </row>
    <row r="25" spans="1:36" x14ac:dyDescent="0.3">
      <c r="A25" s="41" t="str">
        <f>'[2]Empaque (10)'!A25</f>
        <v>H2E (Orig.) x 80</v>
      </c>
      <c r="B25" s="42" t="str">
        <f>'[2]Empaque (10)'!B25</f>
        <v>kg</v>
      </c>
      <c r="C25" s="109"/>
      <c r="E25" s="109"/>
      <c r="G25" s="109"/>
      <c r="I25" s="109"/>
      <c r="J25" s="110"/>
      <c r="K25" s="43" t="s">
        <v>30</v>
      </c>
      <c r="L25" s="43" t="s">
        <v>31</v>
      </c>
      <c r="M25" s="43" t="s">
        <v>32</v>
      </c>
      <c r="N25" s="20"/>
      <c r="O25" s="20"/>
      <c r="P25" s="58"/>
      <c r="S25" s="10"/>
      <c r="Z25" s="41" t="str">
        <f>'[2]Empaque (10)'!AA25</f>
        <v>H2E (Orig.) x 80</v>
      </c>
      <c r="AA25" s="44" t="str">
        <f>'[2]Empaque (10)'!AB25</f>
        <v>kg</v>
      </c>
      <c r="AE25" s="6" t="s">
        <v>33</v>
      </c>
      <c r="AF25" s="45">
        <v>0.92261904761904767</v>
      </c>
      <c r="AH25" s="76"/>
      <c r="AI25" s="76"/>
    </row>
    <row r="26" spans="1:36" x14ac:dyDescent="0.3">
      <c r="A26" s="46" t="str">
        <f>'[2]Empaque (10)'!A26</f>
        <v>Jb</v>
      </c>
      <c r="B26" s="47">
        <f>'[2]Empaque (10)'!B26</f>
        <v>12.5</v>
      </c>
      <c r="C26" s="48">
        <f>'[2]Empaque (10)'!C26</f>
        <v>184</v>
      </c>
      <c r="D26" s="49">
        <f>'[2]Empaque (10)'!D26</f>
        <v>0.64111498257839716</v>
      </c>
      <c r="E26" s="50">
        <f>'[2]Empaque (10)'!F26</f>
        <v>0</v>
      </c>
      <c r="F26" s="51">
        <f>'[2]Empaque (10)'!G26</f>
        <v>0</v>
      </c>
      <c r="G26" s="52">
        <f>'[2]Empaque (10)'!H26</f>
        <v>0</v>
      </c>
      <c r="H26" s="48">
        <f>'[2]Empaque (10)'!I26</f>
        <v>169</v>
      </c>
      <c r="I26" s="53">
        <f>'[2]Empaque (10)'!J26</f>
        <v>15</v>
      </c>
      <c r="J26" s="54">
        <f>'[2]Empaque (10)'!K26</f>
        <v>0.20833333333333334</v>
      </c>
      <c r="K26" s="55">
        <v>380</v>
      </c>
      <c r="L26" s="55">
        <f>IF(K26="",0,K26-$P$5)</f>
        <v>344</v>
      </c>
      <c r="M26" s="55">
        <f t="shared" ref="M26:M31" si="2">(C26+E26-F26)*L26</f>
        <v>63296</v>
      </c>
      <c r="N26" s="57"/>
      <c r="P26" s="58">
        <v>10662.5</v>
      </c>
      <c r="S26" s="10"/>
      <c r="T26" s="59">
        <v>0</v>
      </c>
      <c r="U26" s="59">
        <v>0</v>
      </c>
      <c r="V26" s="59">
        <v>1011</v>
      </c>
      <c r="W26" s="59">
        <v>0</v>
      </c>
      <c r="X26" s="59">
        <v>0</v>
      </c>
      <c r="Z26" s="60" t="str">
        <f>'[2]Empaque (10)'!AA26</f>
        <v>Jb</v>
      </c>
      <c r="AA26" s="61">
        <f>'[2]Empaque (10)'!AB26</f>
        <v>12.5</v>
      </c>
      <c r="AB26" s="62">
        <f>'[2]Empaque (10)'!AC26</f>
        <v>1500</v>
      </c>
      <c r="AC26" s="63">
        <f>'[2]Empaque (10)'!AD26</f>
        <v>0.80042689434365</v>
      </c>
      <c r="AG26" s="64"/>
      <c r="AH26" s="65">
        <v>0</v>
      </c>
      <c r="AI26" s="65">
        <v>8706</v>
      </c>
    </row>
    <row r="27" spans="1:36" x14ac:dyDescent="0.3">
      <c r="A27" s="46" t="str">
        <f>'[2]Empaque (10)'!A27</f>
        <v>Xl</v>
      </c>
      <c r="B27" s="66">
        <f>'[2]Empaque (10)'!B27</f>
        <v>12.5</v>
      </c>
      <c r="C27" s="67">
        <f>'[2]Empaque (10)'!C27</f>
        <v>65</v>
      </c>
      <c r="D27" s="49">
        <f>'[2]Empaque (10)'!D27</f>
        <v>0.2264808362369338</v>
      </c>
      <c r="E27" s="50">
        <f>'[2]Empaque (10)'!F27</f>
        <v>0</v>
      </c>
      <c r="F27" s="51">
        <f>'[2]Empaque (10)'!G27</f>
        <v>0</v>
      </c>
      <c r="G27" s="68">
        <f>'[2]Empaque (10)'!H27</f>
        <v>0</v>
      </c>
      <c r="H27" s="67">
        <f>'[2]Empaque (10)'!I27</f>
        <v>0</v>
      </c>
      <c r="I27" s="53">
        <f>'[2]Empaque (10)'!J27</f>
        <v>65</v>
      </c>
      <c r="J27" s="54">
        <f>'[2]Empaque (10)'!K27</f>
        <v>0.90277777777777779</v>
      </c>
      <c r="K27" s="69">
        <v>380</v>
      </c>
      <c r="L27" s="69">
        <f t="shared" ref="L27:L31" si="3">IF(K27="",0,K27-$P$5)</f>
        <v>344</v>
      </c>
      <c r="M27" s="69">
        <f t="shared" si="2"/>
        <v>22360</v>
      </c>
      <c r="N27" s="71"/>
      <c r="P27" s="58">
        <v>1087.5</v>
      </c>
      <c r="S27" s="10"/>
      <c r="Z27" s="60" t="str">
        <f>'[2]Empaque (10)'!AA27</f>
        <v>Xl</v>
      </c>
      <c r="AA27" s="72">
        <f>'[2]Empaque (10)'!AB27</f>
        <v>12.5</v>
      </c>
      <c r="AB27" s="62">
        <f>'[2]Empaque (10)'!AC27</f>
        <v>215</v>
      </c>
      <c r="AC27" s="63">
        <f>'[2]Empaque (10)'!AD27</f>
        <v>0.11472785485592316</v>
      </c>
      <c r="AG27" s="73"/>
      <c r="AH27" s="74">
        <v>0</v>
      </c>
      <c r="AI27" s="74">
        <v>3085</v>
      </c>
    </row>
    <row r="28" spans="1:36" x14ac:dyDescent="0.3">
      <c r="A28" s="46" t="str">
        <f>'[2]Empaque (10)'!A28</f>
        <v>Lg</v>
      </c>
      <c r="B28" s="47">
        <f>'[2]Empaque (10)'!B28</f>
        <v>12.5</v>
      </c>
      <c r="C28" s="67">
        <f>'[2]Empaque (10)'!C28</f>
        <v>20</v>
      </c>
      <c r="D28" s="49">
        <f>'[2]Empaque (10)'!D28</f>
        <v>6.968641114982578E-2</v>
      </c>
      <c r="E28" s="50">
        <f>'[2]Empaque (10)'!F28</f>
        <v>0</v>
      </c>
      <c r="F28" s="51">
        <f>'[2]Empaque (10)'!G28</f>
        <v>0</v>
      </c>
      <c r="G28" s="68">
        <f>'[2]Empaque (10)'!H28</f>
        <v>0</v>
      </c>
      <c r="H28" s="67">
        <f>'[2]Empaque (10)'!I28</f>
        <v>1</v>
      </c>
      <c r="I28" s="53">
        <f>'[2]Empaque (10)'!J28</f>
        <v>19</v>
      </c>
      <c r="J28" s="54">
        <f>'[2]Empaque (10)'!K28</f>
        <v>0.2638888888888889</v>
      </c>
      <c r="K28" s="69">
        <v>380</v>
      </c>
      <c r="L28" s="69">
        <f t="shared" si="3"/>
        <v>344</v>
      </c>
      <c r="M28" s="69">
        <f t="shared" si="2"/>
        <v>6880</v>
      </c>
      <c r="N28" s="75"/>
      <c r="P28" s="58">
        <v>525</v>
      </c>
      <c r="S28" s="10"/>
      <c r="Z28" s="60" t="str">
        <f>'[2]Empaque (10)'!AA28</f>
        <v>Lg</v>
      </c>
      <c r="AA28" s="61">
        <f>'[2]Empaque (10)'!AB28</f>
        <v>12.5</v>
      </c>
      <c r="AB28" s="62">
        <f>'[2]Empaque (10)'!AC28</f>
        <v>85</v>
      </c>
      <c r="AC28" s="63">
        <f>'[2]Empaque (10)'!AD28</f>
        <v>4.5357524012806828E-2</v>
      </c>
      <c r="AG28" s="73"/>
      <c r="AH28" s="74">
        <v>0</v>
      </c>
      <c r="AI28" s="74">
        <v>1333</v>
      </c>
    </row>
    <row r="29" spans="1:36" x14ac:dyDescent="0.3">
      <c r="A29" s="46" t="str">
        <f>'[2]Empaque (10)'!A29</f>
        <v>Md</v>
      </c>
      <c r="B29" s="66">
        <f>'[2]Empaque (10)'!B29</f>
        <v>12.5</v>
      </c>
      <c r="C29" s="67">
        <f>'[2]Empaque (10)'!C29</f>
        <v>7</v>
      </c>
      <c r="D29" s="49">
        <f>'[2]Empaque (10)'!D29</f>
        <v>2.4390243902439025E-2</v>
      </c>
      <c r="E29" s="50">
        <f>'[2]Empaque (10)'!F29</f>
        <v>0</v>
      </c>
      <c r="F29" s="51">
        <f>'[2]Empaque (10)'!G29</f>
        <v>0</v>
      </c>
      <c r="G29" s="68">
        <f>'[2]Empaque (10)'!H29</f>
        <v>0</v>
      </c>
      <c r="H29" s="67">
        <f>'[2]Empaque (10)'!I29</f>
        <v>0</v>
      </c>
      <c r="I29" s="53">
        <f>'[2]Empaque (10)'!J29</f>
        <v>7</v>
      </c>
      <c r="J29" s="54">
        <f>'[2]Empaque (10)'!K29</f>
        <v>9.7222222222222224E-2</v>
      </c>
      <c r="K29" s="69">
        <v>380</v>
      </c>
      <c r="L29" s="69">
        <f t="shared" si="3"/>
        <v>344</v>
      </c>
      <c r="M29" s="69">
        <f t="shared" si="2"/>
        <v>2408</v>
      </c>
      <c r="N29" s="76"/>
      <c r="P29" s="58">
        <v>237.5</v>
      </c>
      <c r="S29" s="10"/>
      <c r="Z29" s="60" t="str">
        <f>'[2]Empaque (10)'!AA29</f>
        <v>Md</v>
      </c>
      <c r="AA29" s="72">
        <f>'[2]Empaque (10)'!AB29</f>
        <v>12.5</v>
      </c>
      <c r="AB29" s="62">
        <f>'[2]Empaque (10)'!AC29</f>
        <v>37</v>
      </c>
      <c r="AC29" s="63">
        <f>'[2]Empaque (10)'!AD29</f>
        <v>1.9743863393810034E-2</v>
      </c>
      <c r="AG29" s="73"/>
      <c r="AH29" s="74">
        <v>0</v>
      </c>
      <c r="AI29" s="74">
        <v>910</v>
      </c>
    </row>
    <row r="30" spans="1:36" x14ac:dyDescent="0.3">
      <c r="A30" s="46" t="str">
        <f>'[2]Empaque (10)'!A30</f>
        <v>Sm</v>
      </c>
      <c r="B30" s="47">
        <f>'[2]Empaque (10)'!B30</f>
        <v>12.5</v>
      </c>
      <c r="C30" s="67">
        <f>'[2]Empaque (10)'!C30</f>
        <v>8</v>
      </c>
      <c r="D30" s="49">
        <f>'[2]Empaque (10)'!D30</f>
        <v>2.7874564459930314E-2</v>
      </c>
      <c r="E30" s="50">
        <f>'[2]Empaque (10)'!F30</f>
        <v>0</v>
      </c>
      <c r="F30" s="51">
        <f>'[2]Empaque (10)'!G30</f>
        <v>0</v>
      </c>
      <c r="G30" s="68">
        <f>'[2]Empaque (10)'!H30</f>
        <v>0</v>
      </c>
      <c r="H30" s="67">
        <f>'[2]Empaque (10)'!I30</f>
        <v>0</v>
      </c>
      <c r="I30" s="53">
        <f>'[2]Empaque (10)'!J30</f>
        <v>8</v>
      </c>
      <c r="J30" s="54">
        <f>'[2]Empaque (10)'!K30</f>
        <v>0.1111111111111111</v>
      </c>
      <c r="K30" s="69">
        <v>380</v>
      </c>
      <c r="L30" s="69">
        <f t="shared" si="3"/>
        <v>344</v>
      </c>
      <c r="M30" s="69">
        <f t="shared" si="2"/>
        <v>2752</v>
      </c>
      <c r="N30" s="76"/>
      <c r="P30" s="58">
        <v>125</v>
      </c>
      <c r="S30" s="10"/>
      <c r="Z30" s="60" t="str">
        <f>'[2]Empaque (10)'!AA30</f>
        <v>Sm</v>
      </c>
      <c r="AA30" s="61">
        <f>'[2]Empaque (10)'!AB30</f>
        <v>12.5</v>
      </c>
      <c r="AB30" s="77">
        <f>'[2]Empaque (10)'!AC30</f>
        <v>29</v>
      </c>
      <c r="AC30" s="63">
        <f>'[2]Empaque (10)'!AD30</f>
        <v>1.5474919957310566E-2</v>
      </c>
      <c r="AG30" s="64"/>
      <c r="AH30" s="78">
        <v>0</v>
      </c>
      <c r="AI30" s="78">
        <v>257</v>
      </c>
    </row>
    <row r="31" spans="1:36" ht="15" thickBot="1" x14ac:dyDescent="0.35">
      <c r="A31" s="79" t="str">
        <f>'[2]Empaque (10)'!A31</f>
        <v>Mixto</v>
      </c>
      <c r="B31" s="111">
        <f>'[2]Empaque (10)'!B31</f>
        <v>12.5</v>
      </c>
      <c r="C31" s="81">
        <f>'[2]Empaque (10)'!C31</f>
        <v>3</v>
      </c>
      <c r="D31" s="82">
        <f>'[2]Empaque (10)'!D31</f>
        <v>1.0452961672473868E-2</v>
      </c>
      <c r="E31" s="83">
        <f>'[2]Empaque (10)'!F31</f>
        <v>0</v>
      </c>
      <c r="F31" s="84">
        <f>'[2]Empaque (10)'!G31</f>
        <v>0</v>
      </c>
      <c r="G31" s="85">
        <f>'[2]Empaque (10)'!H31</f>
        <v>0</v>
      </c>
      <c r="H31" s="81">
        <f>'[2]Empaque (10)'!I31</f>
        <v>0</v>
      </c>
      <c r="I31" s="86">
        <f>'[2]Empaque (10)'!J31</f>
        <v>3</v>
      </c>
      <c r="J31" s="87">
        <f>'[2]Empaque (10)'!K31</f>
        <v>4.1666666666666664E-2</v>
      </c>
      <c r="K31" s="88">
        <v>380</v>
      </c>
      <c r="L31" s="88">
        <f t="shared" si="3"/>
        <v>344</v>
      </c>
      <c r="M31" s="88">
        <f t="shared" si="2"/>
        <v>1032</v>
      </c>
      <c r="N31" s="43"/>
      <c r="O31" s="43"/>
      <c r="P31" s="58">
        <v>0</v>
      </c>
      <c r="S31" s="10"/>
      <c r="Z31" s="90" t="str">
        <f>'[2]Empaque (10)'!AA31</f>
        <v>xs</v>
      </c>
      <c r="AA31" s="91">
        <f>'[2]Empaque (10)'!AB31</f>
        <v>12.5</v>
      </c>
      <c r="AB31" s="92">
        <f>'[2]Empaque (10)'!AC31</f>
        <v>8</v>
      </c>
      <c r="AC31" s="93">
        <f>'[2]Empaque (10)'!AD31</f>
        <v>4.2689434364994666E-3</v>
      </c>
      <c r="AG31" s="94"/>
      <c r="AH31" s="95">
        <v>0</v>
      </c>
      <c r="AI31" s="95">
        <v>0</v>
      </c>
    </row>
    <row r="32" spans="1:36" ht="15" thickTop="1" x14ac:dyDescent="0.3">
      <c r="C32" s="96">
        <f>'[2]Empaque (10)'!C32</f>
        <v>287</v>
      </c>
      <c r="D32" s="97">
        <f>'[2]Empaque (10)'!D32</f>
        <v>1</v>
      </c>
      <c r="E32" s="98">
        <f>'[2]Empaque (10)'!F32</f>
        <v>0</v>
      </c>
      <c r="F32" s="99">
        <f>'[2]Empaque (10)'!G32</f>
        <v>0</v>
      </c>
      <c r="G32" s="100">
        <f>'[2]Empaque (10)'!H32</f>
        <v>0</v>
      </c>
      <c r="H32" s="100">
        <f>'[2]Empaque (10)'!I32</f>
        <v>170</v>
      </c>
      <c r="I32" s="100">
        <f>'[2]Empaque (10)'!J32</f>
        <v>117</v>
      </c>
      <c r="J32" s="101">
        <f>'[2]Empaque (10)'!K32</f>
        <v>1.625</v>
      </c>
      <c r="K32" s="102">
        <f>IFERROR((C26*K26+C27*K27+C28*K28+C29*K29+C30*K30+C31*K31)/C32,0)</f>
        <v>380</v>
      </c>
      <c r="L32" s="103">
        <f>IFERROR(M32/C32,0)</f>
        <v>344</v>
      </c>
      <c r="M32" s="103">
        <f>SUM(M26:M31)</f>
        <v>98728</v>
      </c>
      <c r="N32" s="55"/>
      <c r="O32" s="55"/>
      <c r="P32" s="58"/>
      <c r="S32" s="10"/>
      <c r="AA32" s="104"/>
      <c r="AB32" s="105">
        <f>'[2]Empaque (10)'!AC32</f>
        <v>1874</v>
      </c>
      <c r="AC32" s="106">
        <f>'[2]Empaque (10)'!AD32</f>
        <v>1</v>
      </c>
      <c r="AH32" s="107">
        <v>0</v>
      </c>
      <c r="AI32" s="107">
        <v>14291</v>
      </c>
      <c r="AJ32" s="108">
        <v>203476</v>
      </c>
    </row>
    <row r="33" spans="1:36" hidden="1" x14ac:dyDescent="0.3">
      <c r="A33" s="41" t="str">
        <f>'[2]Empaque (10)'!A33</f>
        <v>Genérica x 80</v>
      </c>
      <c r="B33" s="172" t="str">
        <f>'[2]Empaque (10)'!B33</f>
        <v>kg</v>
      </c>
      <c r="C33" s="109"/>
      <c r="E33" s="109"/>
      <c r="G33" s="109"/>
      <c r="I33" s="109"/>
      <c r="J33" s="110"/>
      <c r="K33" s="43" t="s">
        <v>30</v>
      </c>
      <c r="L33" s="43" t="s">
        <v>31</v>
      </c>
      <c r="M33" s="43" t="s">
        <v>32</v>
      </c>
      <c r="N33" s="20"/>
      <c r="O33" s="20"/>
      <c r="P33" s="58"/>
      <c r="S33" s="10"/>
      <c r="Z33" s="41" t="str">
        <f>'[2]Empaque (10)'!AA33</f>
        <v>Genérica x 80</v>
      </c>
      <c r="AA33" s="44" t="str">
        <f>'[2]Empaque (10)'!AB33</f>
        <v>kg</v>
      </c>
      <c r="AE33" s="6" t="s">
        <v>33</v>
      </c>
      <c r="AF33" s="45">
        <v>1</v>
      </c>
      <c r="AH33" s="76"/>
      <c r="AI33" s="76"/>
    </row>
    <row r="34" spans="1:36" hidden="1" x14ac:dyDescent="0.3">
      <c r="A34" s="46" t="str">
        <f>'[2]Empaque (10)'!A34</f>
        <v>Jb</v>
      </c>
      <c r="B34" s="173">
        <f>'[2]Empaque (10)'!B34</f>
        <v>13</v>
      </c>
      <c r="C34" s="48">
        <f>'[2]Empaque (10)'!C34</f>
        <v>0</v>
      </c>
      <c r="D34" s="49" t="str">
        <f>'[2]Empaque (10)'!D34</f>
        <v/>
      </c>
      <c r="E34" s="50">
        <f>'[2]Empaque (10)'!F34</f>
        <v>0</v>
      </c>
      <c r="F34" s="51">
        <f>'[2]Empaque (10)'!G34</f>
        <v>0</v>
      </c>
      <c r="G34" s="52">
        <f>'[2]Empaque (10)'!H34</f>
        <v>0</v>
      </c>
      <c r="H34" s="48">
        <f>'[2]Empaque (10)'!I34</f>
        <v>0</v>
      </c>
      <c r="I34" s="53">
        <f>'[2]Empaque (10)'!J34</f>
        <v>0</v>
      </c>
      <c r="J34" s="54">
        <f>'[2]Empaque (10)'!K34</f>
        <v>0</v>
      </c>
      <c r="K34" s="55"/>
      <c r="L34" s="55">
        <f>IF(C34=0+E34-F34,0,(K34-'[1]Reporte Semanal'!$C$74)-(K34*'[1]Reporte Semanal'!$C$75))</f>
        <v>0</v>
      </c>
      <c r="M34" s="55">
        <f t="shared" ref="M34:M39" si="4">(C34+E34-F34)*L34</f>
        <v>0</v>
      </c>
      <c r="N34" s="57"/>
      <c r="P34" s="58">
        <v>784</v>
      </c>
      <c r="S34" s="10"/>
      <c r="T34" s="59">
        <v>0</v>
      </c>
      <c r="U34" s="59">
        <v>0</v>
      </c>
      <c r="V34" s="59">
        <v>0</v>
      </c>
      <c r="W34" s="59">
        <v>76</v>
      </c>
      <c r="X34" s="59">
        <v>0</v>
      </c>
      <c r="Z34" s="60" t="str">
        <f>'[2]Empaque (10)'!AA34</f>
        <v>Jb</v>
      </c>
      <c r="AA34" s="61">
        <f>'[2]Empaque (10)'!AB34</f>
        <v>13</v>
      </c>
      <c r="AB34" s="62">
        <f>'[2]Empaque (10)'!AC34</f>
        <v>0</v>
      </c>
      <c r="AC34" s="63">
        <f>'[2]Empaque (10)'!AD34</f>
        <v>0</v>
      </c>
      <c r="AG34" s="64"/>
      <c r="AH34" s="65">
        <v>0</v>
      </c>
      <c r="AI34" s="65">
        <v>401</v>
      </c>
    </row>
    <row r="35" spans="1:36" hidden="1" x14ac:dyDescent="0.3">
      <c r="A35" s="46" t="str">
        <f>'[2]Empaque (10)'!A35</f>
        <v>Xl</v>
      </c>
      <c r="B35" s="174">
        <f>'[2]Empaque (10)'!B35</f>
        <v>13</v>
      </c>
      <c r="C35" s="67">
        <f>'[2]Empaque (10)'!C35</f>
        <v>0</v>
      </c>
      <c r="D35" s="49" t="str">
        <f>'[2]Empaque (10)'!D35</f>
        <v/>
      </c>
      <c r="E35" s="50">
        <f>'[2]Empaque (10)'!F35</f>
        <v>0</v>
      </c>
      <c r="F35" s="51">
        <f>'[2]Empaque (10)'!G35</f>
        <v>0</v>
      </c>
      <c r="G35" s="68">
        <f>'[2]Empaque (10)'!H35</f>
        <v>0</v>
      </c>
      <c r="H35" s="67">
        <f>'[2]Empaque (10)'!I35</f>
        <v>0</v>
      </c>
      <c r="I35" s="53">
        <f>'[2]Empaque (10)'!J35</f>
        <v>0</v>
      </c>
      <c r="J35" s="54">
        <f>'[2]Empaque (10)'!K35</f>
        <v>0</v>
      </c>
      <c r="K35" s="69"/>
      <c r="L35" s="69">
        <f>IF(C35=0+E35-F35,0,(K35-'[1]Reporte Semanal'!$C$74)-(K35*'[1]Reporte Semanal'!$C$75))</f>
        <v>0</v>
      </c>
      <c r="M35" s="69">
        <f t="shared" si="4"/>
        <v>0</v>
      </c>
      <c r="N35" s="71"/>
      <c r="P35" s="58">
        <v>0</v>
      </c>
      <c r="S35" s="10"/>
      <c r="Z35" s="60" t="str">
        <f>'[2]Empaque (10)'!AA35</f>
        <v>Xl</v>
      </c>
      <c r="AA35" s="72">
        <f>'[2]Empaque (10)'!AB35</f>
        <v>13</v>
      </c>
      <c r="AB35" s="62">
        <f>'[2]Empaque (10)'!AC35</f>
        <v>0</v>
      </c>
      <c r="AC35" s="63">
        <f>'[2]Empaque (10)'!AD35</f>
        <v>0</v>
      </c>
      <c r="AG35" s="73"/>
      <c r="AH35" s="74">
        <v>0</v>
      </c>
      <c r="AI35" s="74">
        <v>1</v>
      </c>
    </row>
    <row r="36" spans="1:36" hidden="1" x14ac:dyDescent="0.3">
      <c r="A36" s="46" t="str">
        <f>'[2]Empaque (10)'!A36</f>
        <v>Lg</v>
      </c>
      <c r="B36" s="173">
        <f>'[2]Empaque (10)'!B36</f>
        <v>13</v>
      </c>
      <c r="C36" s="67">
        <f>'[2]Empaque (10)'!C36</f>
        <v>0</v>
      </c>
      <c r="D36" s="49" t="str">
        <f>'[2]Empaque (10)'!D36</f>
        <v/>
      </c>
      <c r="E36" s="50">
        <f>'[2]Empaque (10)'!F36</f>
        <v>0</v>
      </c>
      <c r="F36" s="51">
        <f>'[2]Empaque (10)'!G36</f>
        <v>0</v>
      </c>
      <c r="G36" s="68">
        <f>'[2]Empaque (10)'!H36</f>
        <v>0</v>
      </c>
      <c r="H36" s="67">
        <f>'[2]Empaque (10)'!I36</f>
        <v>0</v>
      </c>
      <c r="I36" s="53">
        <f>'[2]Empaque (10)'!J36</f>
        <v>0</v>
      </c>
      <c r="J36" s="54">
        <f>'[2]Empaque (10)'!K36</f>
        <v>0</v>
      </c>
      <c r="K36" s="69"/>
      <c r="L36" s="69">
        <f>IF(C36=0+E36-F36,0,(K36-'[1]Reporte Semanal'!$C$74)-(K36*'[1]Reporte Semanal'!$C$75))</f>
        <v>0</v>
      </c>
      <c r="M36" s="69">
        <f t="shared" si="4"/>
        <v>0</v>
      </c>
      <c r="N36" s="75"/>
      <c r="P36" s="58">
        <v>0</v>
      </c>
      <c r="S36" s="10"/>
      <c r="Z36" s="60" t="str">
        <f>'[2]Empaque (10)'!AA36</f>
        <v>Lg</v>
      </c>
      <c r="AA36" s="61">
        <f>'[2]Empaque (10)'!AB36</f>
        <v>13</v>
      </c>
      <c r="AB36" s="62">
        <f>'[2]Empaque (10)'!AC36</f>
        <v>0</v>
      </c>
      <c r="AC36" s="63">
        <f>'[2]Empaque (10)'!AD36</f>
        <v>0</v>
      </c>
      <c r="AG36" s="73"/>
      <c r="AH36" s="74">
        <v>0</v>
      </c>
      <c r="AI36" s="74">
        <v>0</v>
      </c>
    </row>
    <row r="37" spans="1:36" hidden="1" x14ac:dyDescent="0.3">
      <c r="A37" s="46" t="str">
        <f>'[2]Empaque (10)'!A37</f>
        <v>Md</v>
      </c>
      <c r="B37" s="174">
        <f>'[2]Empaque (10)'!B37</f>
        <v>13</v>
      </c>
      <c r="C37" s="67">
        <f>'[2]Empaque (10)'!C37</f>
        <v>0</v>
      </c>
      <c r="D37" s="49" t="str">
        <f>'[2]Empaque (10)'!D37</f>
        <v/>
      </c>
      <c r="E37" s="50">
        <f>'[2]Empaque (10)'!F37</f>
        <v>0</v>
      </c>
      <c r="F37" s="51">
        <f>'[2]Empaque (10)'!G37</f>
        <v>0</v>
      </c>
      <c r="G37" s="68">
        <f>'[2]Empaque (10)'!H37</f>
        <v>0</v>
      </c>
      <c r="H37" s="67">
        <f>'[2]Empaque (10)'!I37</f>
        <v>0</v>
      </c>
      <c r="I37" s="53">
        <f>'[2]Empaque (10)'!J37</f>
        <v>0</v>
      </c>
      <c r="J37" s="54">
        <f>'[2]Empaque (10)'!K37</f>
        <v>0</v>
      </c>
      <c r="K37" s="69"/>
      <c r="L37" s="69">
        <f>IF(C37=0+E37-F37,0,(K37-'[1]Reporte Semanal'!$C$74)-(K37*'[1]Reporte Semanal'!$C$75))</f>
        <v>0</v>
      </c>
      <c r="M37" s="69">
        <f t="shared" si="4"/>
        <v>0</v>
      </c>
      <c r="N37" s="76"/>
      <c r="P37" s="58">
        <v>0</v>
      </c>
      <c r="S37" s="10"/>
      <c r="Z37" s="60" t="str">
        <f>'[2]Empaque (10)'!AA37</f>
        <v>Md</v>
      </c>
      <c r="AA37" s="72">
        <f>'[2]Empaque (10)'!AB37</f>
        <v>13</v>
      </c>
      <c r="AB37" s="62">
        <f>'[2]Empaque (10)'!AC37</f>
        <v>0</v>
      </c>
      <c r="AC37" s="63">
        <f>'[2]Empaque (10)'!AD37</f>
        <v>0</v>
      </c>
      <c r="AG37" s="73"/>
      <c r="AH37" s="74">
        <v>0</v>
      </c>
      <c r="AI37" s="74">
        <v>0</v>
      </c>
    </row>
    <row r="38" spans="1:36" hidden="1" x14ac:dyDescent="0.3">
      <c r="A38" s="46" t="str">
        <f>'[2]Empaque (10)'!A38</f>
        <v>Sm</v>
      </c>
      <c r="B38" s="173">
        <f>'[2]Empaque (10)'!B38</f>
        <v>13</v>
      </c>
      <c r="C38" s="67">
        <f>'[2]Empaque (10)'!C38</f>
        <v>0</v>
      </c>
      <c r="D38" s="49" t="str">
        <f>'[2]Empaque (10)'!D38</f>
        <v/>
      </c>
      <c r="E38" s="50">
        <f>'[2]Empaque (10)'!F38</f>
        <v>0</v>
      </c>
      <c r="F38" s="51">
        <f>'[2]Empaque (10)'!G38</f>
        <v>0</v>
      </c>
      <c r="G38" s="68">
        <f>'[2]Empaque (10)'!H38</f>
        <v>0</v>
      </c>
      <c r="H38" s="67">
        <f>'[2]Empaque (10)'!I38</f>
        <v>0</v>
      </c>
      <c r="I38" s="53">
        <f>'[2]Empaque (10)'!J38</f>
        <v>0</v>
      </c>
      <c r="J38" s="54">
        <f>'[2]Empaque (10)'!K38</f>
        <v>0</v>
      </c>
      <c r="K38" s="69"/>
      <c r="L38" s="69">
        <f>IF(C38=0+E38-F38,0,(K38-'[1]Reporte Semanal'!$C$74)-(K38*'[1]Reporte Semanal'!$C$75))</f>
        <v>0</v>
      </c>
      <c r="M38" s="69">
        <f t="shared" si="4"/>
        <v>0</v>
      </c>
      <c r="N38" s="76"/>
      <c r="P38" s="58">
        <v>280</v>
      </c>
      <c r="S38" s="10"/>
      <c r="Z38" s="60" t="str">
        <f>'[2]Empaque (10)'!AA38</f>
        <v>Sm</v>
      </c>
      <c r="AA38" s="61">
        <f>'[2]Empaque (10)'!AB38</f>
        <v>13</v>
      </c>
      <c r="AB38" s="77">
        <f>'[2]Empaque (10)'!AC38</f>
        <v>0</v>
      </c>
      <c r="AC38" s="63">
        <f>'[2]Empaque (10)'!AD38</f>
        <v>0</v>
      </c>
      <c r="AG38" s="64"/>
      <c r="AH38" s="78">
        <v>0</v>
      </c>
      <c r="AI38" s="78">
        <v>0</v>
      </c>
    </row>
    <row r="39" spans="1:36" ht="15.75" hidden="1" customHeight="1" thickBot="1" x14ac:dyDescent="0.35">
      <c r="A39" s="79" t="str">
        <f>'[2]Empaque (10)'!A39</f>
        <v>Mixto</v>
      </c>
      <c r="B39" s="175">
        <f>'[2]Empaque (10)'!B39</f>
        <v>0</v>
      </c>
      <c r="C39" s="81">
        <f>'[2]Empaque (10)'!C39</f>
        <v>0</v>
      </c>
      <c r="D39" s="82" t="str">
        <f>'[2]Empaque (10)'!D39</f>
        <v/>
      </c>
      <c r="E39" s="83">
        <f>'[2]Empaque (10)'!F39</f>
        <v>0</v>
      </c>
      <c r="F39" s="84">
        <f>'[2]Empaque (10)'!G39</f>
        <v>0</v>
      </c>
      <c r="G39" s="85">
        <f>'[2]Empaque (10)'!H39</f>
        <v>0</v>
      </c>
      <c r="H39" s="81">
        <f>'[2]Empaque (10)'!I39</f>
        <v>0</v>
      </c>
      <c r="I39" s="86">
        <f>'[2]Empaque (10)'!J39</f>
        <v>0</v>
      </c>
      <c r="J39" s="87">
        <f>'[2]Empaque (10)'!K39</f>
        <v>0</v>
      </c>
      <c r="K39" s="88"/>
      <c r="L39" s="88">
        <f>IF(C39=0+E39-F39,0,(K39-'[1]Reporte Semanal'!$C$74)-(K39*'[1]Reporte Semanal'!$C$75))</f>
        <v>0</v>
      </c>
      <c r="M39" s="88">
        <f t="shared" si="4"/>
        <v>0</v>
      </c>
      <c r="N39" s="43"/>
      <c r="O39" s="43"/>
      <c r="P39" s="58">
        <v>0</v>
      </c>
      <c r="S39" s="10"/>
      <c r="Z39" s="90" t="str">
        <f>'[2]Empaque (10)'!AA39</f>
        <v>xs</v>
      </c>
      <c r="AA39" s="91">
        <f>'[2]Empaque (10)'!AB39</f>
        <v>0</v>
      </c>
      <c r="AB39" s="92">
        <f>'[2]Empaque (10)'!AC39</f>
        <v>0</v>
      </c>
      <c r="AC39" s="93">
        <f>'[2]Empaque (10)'!AD39</f>
        <v>0</v>
      </c>
      <c r="AG39" s="94"/>
      <c r="AH39" s="95">
        <v>0</v>
      </c>
      <c r="AI39" s="95">
        <v>0</v>
      </c>
    </row>
    <row r="40" spans="1:36" ht="15.75" hidden="1" customHeight="1" thickTop="1" x14ac:dyDescent="0.3">
      <c r="C40" s="96">
        <f>'[2]Empaque (10)'!C40</f>
        <v>0</v>
      </c>
      <c r="D40" s="97" t="str">
        <f>'[2]Empaque (10)'!D40</f>
        <v/>
      </c>
      <c r="E40" s="98">
        <f>'[2]Empaque (10)'!F40</f>
        <v>0</v>
      </c>
      <c r="F40" s="99">
        <f>'[2]Empaque (10)'!G40</f>
        <v>0</v>
      </c>
      <c r="G40" s="100">
        <f>'[2]Empaque (10)'!H40</f>
        <v>0</v>
      </c>
      <c r="H40" s="100">
        <f>'[2]Empaque (10)'!I40</f>
        <v>0</v>
      </c>
      <c r="I40" s="100">
        <f>'[2]Empaque (10)'!J40</f>
        <v>0</v>
      </c>
      <c r="J40" s="101">
        <f>'[2]Empaque (10)'!K40</f>
        <v>0</v>
      </c>
      <c r="K40" s="102" t="e">
        <f>(C34*K34+C35*K35+C36*K36+C37*K37+C38*K38+C39*K39)/C40</f>
        <v>#DIV/0!</v>
      </c>
      <c r="L40" s="103" t="e">
        <f>(K40-C127)-(K40*C128)</f>
        <v>#DIV/0!</v>
      </c>
      <c r="M40" s="103">
        <f>SUM(M34:M39)</f>
        <v>0</v>
      </c>
      <c r="N40" s="55"/>
      <c r="O40" s="55"/>
      <c r="P40" s="58"/>
      <c r="S40" s="10"/>
      <c r="AA40" s="104"/>
      <c r="AB40" s="105">
        <f>'[2]Empaque (10)'!AC40</f>
        <v>0</v>
      </c>
      <c r="AC40" s="106">
        <f>'[2]Empaque (10)'!AD40</f>
        <v>0</v>
      </c>
      <c r="AH40" s="107">
        <v>0</v>
      </c>
      <c r="AI40" s="107">
        <v>402</v>
      </c>
      <c r="AJ40" s="108">
        <v>5915</v>
      </c>
    </row>
    <row r="41" spans="1:36" ht="15.75" hidden="1" customHeight="1" x14ac:dyDescent="0.3">
      <c r="A41" s="41" t="str">
        <f>'[2]Empaque (10)'!A41</f>
        <v>1 1/9 x 80</v>
      </c>
      <c r="B41" s="172" t="str">
        <f>'[2]Empaque (10)'!B41</f>
        <v>kg</v>
      </c>
      <c r="C41" s="109"/>
      <c r="E41" s="109"/>
      <c r="G41" s="109"/>
      <c r="I41" s="109"/>
      <c r="J41" s="110"/>
      <c r="K41" s="43" t="s">
        <v>30</v>
      </c>
      <c r="L41" s="43" t="s">
        <v>31</v>
      </c>
      <c r="M41" s="43" t="s">
        <v>32</v>
      </c>
      <c r="N41" s="20"/>
      <c r="P41" s="112"/>
      <c r="S41" s="10"/>
      <c r="AA41" s="104"/>
      <c r="AB41" s="113"/>
      <c r="AC41" s="114"/>
      <c r="AH41" s="115"/>
      <c r="AI41" s="115"/>
      <c r="AJ41" s="116"/>
    </row>
    <row r="42" spans="1:36" ht="15.75" hidden="1" customHeight="1" x14ac:dyDescent="0.3">
      <c r="A42" s="46" t="str">
        <f>'[2]Empaque (10)'!A42</f>
        <v>Jb</v>
      </c>
      <c r="B42" s="173">
        <f>'[2]Empaque (10)'!B42</f>
        <v>22</v>
      </c>
      <c r="C42" s="48">
        <f>'[2]Empaque (10)'!C42</f>
        <v>0</v>
      </c>
      <c r="D42" s="49" t="str">
        <f>'[2]Empaque (10)'!D42</f>
        <v/>
      </c>
      <c r="E42" s="50">
        <f>'[2]Empaque (10)'!F42</f>
        <v>0</v>
      </c>
      <c r="F42" s="51">
        <f>'[2]Empaque (10)'!G42</f>
        <v>0</v>
      </c>
      <c r="G42" s="52">
        <f>'[2]Empaque (10)'!H42</f>
        <v>0</v>
      </c>
      <c r="H42" s="48">
        <f>'[2]Empaque (10)'!I42</f>
        <v>0</v>
      </c>
      <c r="I42" s="53">
        <f>'[2]Empaque (10)'!J42</f>
        <v>0</v>
      </c>
      <c r="J42" s="54">
        <f>'[2]Empaque (10)'!K42</f>
        <v>0</v>
      </c>
      <c r="K42" s="55"/>
      <c r="L42" s="55">
        <f>IF(C42=0+E42-F42,0,(K42-#REF!)-(K42*#REF!))</f>
        <v>0</v>
      </c>
      <c r="M42" s="55">
        <f>C42*L42</f>
        <v>0</v>
      </c>
      <c r="N42" s="57"/>
      <c r="P42" s="112"/>
      <c r="S42" s="10"/>
      <c r="AA42" s="104"/>
      <c r="AB42" s="113"/>
      <c r="AC42" s="114"/>
      <c r="AH42" s="115"/>
      <c r="AI42" s="115"/>
      <c r="AJ42" s="116"/>
    </row>
    <row r="43" spans="1:36" ht="15.75" hidden="1" customHeight="1" x14ac:dyDescent="0.3">
      <c r="A43" s="46" t="str">
        <f>'[2]Empaque (10)'!A43</f>
        <v>Xl</v>
      </c>
      <c r="B43" s="174">
        <f>'[2]Empaque (10)'!B43</f>
        <v>22</v>
      </c>
      <c r="C43" s="67">
        <f>'[2]Empaque (10)'!C43</f>
        <v>0</v>
      </c>
      <c r="D43" s="49" t="str">
        <f>'[2]Empaque (10)'!D43</f>
        <v/>
      </c>
      <c r="E43" s="50">
        <f>'[2]Empaque (10)'!F43</f>
        <v>0</v>
      </c>
      <c r="F43" s="51">
        <f>'[2]Empaque (10)'!G43</f>
        <v>0</v>
      </c>
      <c r="G43" s="68">
        <f>'[2]Empaque (10)'!H43</f>
        <v>0</v>
      </c>
      <c r="H43" s="67">
        <f>'[2]Empaque (10)'!I43</f>
        <v>0</v>
      </c>
      <c r="I43" s="53">
        <f>'[2]Empaque (10)'!J43</f>
        <v>0</v>
      </c>
      <c r="J43" s="54">
        <f>'[2]Empaque (10)'!K43</f>
        <v>0</v>
      </c>
      <c r="K43" s="69"/>
      <c r="L43" s="69">
        <f>IF(C43=0+E43-F43,0,(K43-#REF!)-(K43*#REF!))</f>
        <v>0</v>
      </c>
      <c r="M43" s="69">
        <f t="shared" ref="M43:M47" si="5">C43*L43</f>
        <v>0</v>
      </c>
      <c r="N43" s="71"/>
      <c r="P43" s="112"/>
      <c r="S43" s="10"/>
      <c r="AA43" s="104"/>
      <c r="AB43" s="113"/>
      <c r="AC43" s="114"/>
      <c r="AH43" s="115"/>
      <c r="AI43" s="115"/>
      <c r="AJ43" s="116"/>
    </row>
    <row r="44" spans="1:36" ht="15.75" hidden="1" customHeight="1" x14ac:dyDescent="0.3">
      <c r="A44" s="46" t="str">
        <f>'[2]Empaque (10)'!A44</f>
        <v>Lg</v>
      </c>
      <c r="B44" s="173">
        <f>'[2]Empaque (10)'!B44</f>
        <v>22</v>
      </c>
      <c r="C44" s="67">
        <f>'[2]Empaque (10)'!C44</f>
        <v>0</v>
      </c>
      <c r="D44" s="49" t="str">
        <f>'[2]Empaque (10)'!D44</f>
        <v/>
      </c>
      <c r="E44" s="50">
        <f>'[2]Empaque (10)'!F44</f>
        <v>0</v>
      </c>
      <c r="F44" s="51">
        <f>'[2]Empaque (10)'!G44</f>
        <v>0</v>
      </c>
      <c r="G44" s="68">
        <f>'[2]Empaque (10)'!H44</f>
        <v>0</v>
      </c>
      <c r="H44" s="67">
        <f>'[2]Empaque (10)'!I44</f>
        <v>0</v>
      </c>
      <c r="I44" s="53">
        <f>'[2]Empaque (10)'!J44</f>
        <v>0</v>
      </c>
      <c r="J44" s="54">
        <f>'[2]Empaque (10)'!K44</f>
        <v>0</v>
      </c>
      <c r="K44" s="69"/>
      <c r="L44" s="69">
        <f>IF(C44=0+E44-F44,0,(K44-#REF!)-(K44*#REF!))</f>
        <v>0</v>
      </c>
      <c r="M44" s="69">
        <f t="shared" si="5"/>
        <v>0</v>
      </c>
      <c r="N44" s="75"/>
      <c r="P44" s="112"/>
      <c r="S44" s="10"/>
      <c r="AA44" s="104"/>
      <c r="AB44" s="113"/>
      <c r="AC44" s="114"/>
      <c r="AH44" s="115"/>
      <c r="AI44" s="115"/>
      <c r="AJ44" s="116"/>
    </row>
    <row r="45" spans="1:36" ht="15.75" hidden="1" customHeight="1" x14ac:dyDescent="0.3">
      <c r="A45" s="46" t="str">
        <f>'[2]Empaque (10)'!A45</f>
        <v>Md</v>
      </c>
      <c r="B45" s="174">
        <f>'[2]Empaque (10)'!B45</f>
        <v>22</v>
      </c>
      <c r="C45" s="67">
        <f>'[2]Empaque (10)'!C45</f>
        <v>0</v>
      </c>
      <c r="D45" s="49" t="str">
        <f>'[2]Empaque (10)'!D45</f>
        <v/>
      </c>
      <c r="E45" s="50">
        <f>'[2]Empaque (10)'!F45</f>
        <v>0</v>
      </c>
      <c r="F45" s="51">
        <f>'[2]Empaque (10)'!G45</f>
        <v>0</v>
      </c>
      <c r="G45" s="68">
        <f>'[2]Empaque (10)'!H45</f>
        <v>0</v>
      </c>
      <c r="H45" s="67">
        <f>'[2]Empaque (10)'!I45</f>
        <v>0</v>
      </c>
      <c r="I45" s="53">
        <f>'[2]Empaque (10)'!J45</f>
        <v>0</v>
      </c>
      <c r="J45" s="54">
        <f>'[2]Empaque (10)'!K45</f>
        <v>0</v>
      </c>
      <c r="K45" s="69"/>
      <c r="L45" s="69">
        <f>IF(C45=0+E45-F45,0,(K45-#REF!)-(K45*#REF!))</f>
        <v>0</v>
      </c>
      <c r="M45" s="69">
        <f t="shared" si="5"/>
        <v>0</v>
      </c>
      <c r="N45" s="20"/>
      <c r="P45" s="112"/>
      <c r="S45" s="10"/>
      <c r="AA45" s="104"/>
      <c r="AB45" s="113"/>
      <c r="AC45" s="114"/>
      <c r="AH45" s="115"/>
      <c r="AI45" s="115"/>
      <c r="AJ45" s="116"/>
    </row>
    <row r="46" spans="1:36" ht="15.75" hidden="1" customHeight="1" x14ac:dyDescent="0.3">
      <c r="A46" s="46" t="str">
        <f>'[2]Empaque (10)'!A46</f>
        <v>Sm</v>
      </c>
      <c r="B46" s="173">
        <f>'[2]Empaque (10)'!B46</f>
        <v>22</v>
      </c>
      <c r="C46" s="67">
        <f>'[2]Empaque (10)'!C46</f>
        <v>0</v>
      </c>
      <c r="D46" s="49" t="str">
        <f>'[2]Empaque (10)'!D46</f>
        <v/>
      </c>
      <c r="E46" s="50">
        <f>'[2]Empaque (10)'!F46</f>
        <v>0</v>
      </c>
      <c r="F46" s="51">
        <f>'[2]Empaque (10)'!G46</f>
        <v>0</v>
      </c>
      <c r="G46" s="68">
        <f>'[2]Empaque (10)'!H46</f>
        <v>0</v>
      </c>
      <c r="H46" s="67">
        <f>'[2]Empaque (10)'!I46</f>
        <v>0</v>
      </c>
      <c r="I46" s="53">
        <f>'[2]Empaque (10)'!J46</f>
        <v>0</v>
      </c>
      <c r="J46" s="54">
        <f>'[2]Empaque (10)'!K46</f>
        <v>0</v>
      </c>
      <c r="K46" s="69"/>
      <c r="L46" s="69">
        <f>IF(C46=0+E46-F46,0,(K46-#REF!)-(K46*#REF!))</f>
        <v>0</v>
      </c>
      <c r="M46" s="69">
        <f t="shared" si="5"/>
        <v>0</v>
      </c>
      <c r="N46" s="20"/>
      <c r="P46" s="112"/>
      <c r="S46" s="10"/>
      <c r="AA46" s="104"/>
      <c r="AB46" s="113"/>
      <c r="AC46" s="114"/>
      <c r="AH46" s="115"/>
      <c r="AI46" s="115"/>
      <c r="AJ46" s="116"/>
    </row>
    <row r="47" spans="1:36" ht="15.75" hidden="1" customHeight="1" thickBot="1" x14ac:dyDescent="0.35">
      <c r="A47" s="79" t="str">
        <f>'[2]Empaque (10)'!A47</f>
        <v>Mixto</v>
      </c>
      <c r="B47" s="175">
        <f>'[2]Empaque (10)'!B47</f>
        <v>0</v>
      </c>
      <c r="C47" s="81">
        <f>'[2]Empaque (10)'!C47</f>
        <v>0</v>
      </c>
      <c r="D47" s="82" t="str">
        <f>'[2]Empaque (10)'!D47</f>
        <v/>
      </c>
      <c r="E47" s="83">
        <f>'[2]Empaque (10)'!F47</f>
        <v>0</v>
      </c>
      <c r="F47" s="84">
        <f>'[2]Empaque (10)'!G47</f>
        <v>0</v>
      </c>
      <c r="G47" s="85">
        <f>'[2]Empaque (10)'!H47</f>
        <v>0</v>
      </c>
      <c r="H47" s="81">
        <f>'[2]Empaque (10)'!I47</f>
        <v>0</v>
      </c>
      <c r="I47" s="86">
        <f>'[2]Empaque (10)'!J47</f>
        <v>0</v>
      </c>
      <c r="J47" s="87">
        <f>'[2]Empaque (10)'!K47</f>
        <v>0</v>
      </c>
      <c r="K47" s="88"/>
      <c r="L47" s="88">
        <f>IF(C47=0+E47-F47,0,(K47-#REF!)-(K47*#REF!))</f>
        <v>0</v>
      </c>
      <c r="M47" s="88">
        <f t="shared" si="5"/>
        <v>0</v>
      </c>
      <c r="N47" s="43"/>
      <c r="O47" s="43"/>
      <c r="P47" s="112"/>
      <c r="S47" s="10"/>
      <c r="AA47" s="104"/>
      <c r="AB47" s="113"/>
      <c r="AC47" s="114"/>
      <c r="AH47" s="115"/>
      <c r="AI47" s="115"/>
      <c r="AJ47" s="116"/>
    </row>
    <row r="48" spans="1:36" ht="15.75" hidden="1" customHeight="1" thickTop="1" x14ac:dyDescent="0.3">
      <c r="C48" s="96">
        <f>'[2]Empaque (10)'!C48</f>
        <v>0</v>
      </c>
      <c r="D48" s="97" t="str">
        <f>'[2]Empaque (10)'!D48</f>
        <v/>
      </c>
      <c r="E48" s="98">
        <f>'[2]Empaque (10)'!F48</f>
        <v>0</v>
      </c>
      <c r="F48" s="99">
        <f>'[2]Empaque (10)'!G48</f>
        <v>0</v>
      </c>
      <c r="G48" s="100">
        <f>'[2]Empaque (10)'!H48</f>
        <v>0</v>
      </c>
      <c r="H48" s="100">
        <f>'[2]Empaque (10)'!I48</f>
        <v>0</v>
      </c>
      <c r="I48" s="100">
        <f>'[2]Empaque (10)'!J48</f>
        <v>0</v>
      </c>
      <c r="J48" s="101">
        <f>'[2]Empaque (10)'!K48</f>
        <v>0</v>
      </c>
      <c r="K48" s="102">
        <f>IFERROR((C42*K42+C43*K43+C44*K44+C45*K45+C46*K46+C47*K47)/C48,0)</f>
        <v>0</v>
      </c>
      <c r="L48" s="103">
        <f>IFERROR(M48/C48,0)</f>
        <v>0</v>
      </c>
      <c r="M48" s="103">
        <f>SUM(M42:M47)</f>
        <v>0</v>
      </c>
      <c r="N48" s="55"/>
      <c r="O48" s="55"/>
      <c r="P48" s="112"/>
      <c r="S48" s="10"/>
      <c r="AA48" s="104"/>
      <c r="AB48" s="113"/>
      <c r="AC48" s="114"/>
      <c r="AH48" s="115"/>
      <c r="AI48" s="115"/>
      <c r="AJ48" s="116"/>
    </row>
    <row r="49" spans="1:36" ht="15" hidden="1" customHeight="1" x14ac:dyDescent="0.3">
      <c r="A49" s="41" t="str">
        <f>'[2]Empaque (10)'!A49</f>
        <v>DF Clam 24 Lb x 50</v>
      </c>
      <c r="B49" s="42" t="str">
        <f>'[2]Empaque (10)'!B49</f>
        <v>lb</v>
      </c>
      <c r="C49" s="109"/>
      <c r="E49" s="109"/>
      <c r="G49" s="109"/>
      <c r="I49" s="109"/>
      <c r="K49" s="43" t="s">
        <v>30</v>
      </c>
      <c r="L49" s="43" t="s">
        <v>31</v>
      </c>
      <c r="M49" s="43" t="s">
        <v>32</v>
      </c>
      <c r="N49" s="20"/>
      <c r="O49" s="20"/>
      <c r="P49" s="58"/>
      <c r="S49" s="10"/>
      <c r="Z49" s="41" t="str">
        <f>'[2]Empaque (10)'!AA49</f>
        <v>DF Clam 24 Lb x 50</v>
      </c>
      <c r="AA49" s="44" t="str">
        <f>'[2]Empaque (10)'!AB49</f>
        <v>lb</v>
      </c>
      <c r="AE49" s="6" t="s">
        <v>33</v>
      </c>
      <c r="AF49" s="45" t="e">
        <v>#DIV/0!</v>
      </c>
      <c r="AH49" s="76"/>
      <c r="AI49" s="76"/>
    </row>
    <row r="50" spans="1:36" ht="15" hidden="1" customHeight="1" x14ac:dyDescent="0.3">
      <c r="A50" s="46" t="str">
        <f>'[2]Empaque (10)'!A50</f>
        <v>Jb</v>
      </c>
      <c r="B50" s="47">
        <f>'[2]Empaque (10)'!B50</f>
        <v>24</v>
      </c>
      <c r="C50" s="48">
        <f>'[2]Empaque (10)'!C50</f>
        <v>0</v>
      </c>
      <c r="D50" s="49" t="str">
        <f>'[2]Empaque (10)'!D50</f>
        <v/>
      </c>
      <c r="E50" s="50">
        <f>'[2]Empaque (10)'!F50</f>
        <v>0</v>
      </c>
      <c r="F50" s="51">
        <f>'[2]Empaque (10)'!G50</f>
        <v>0</v>
      </c>
      <c r="G50" s="52">
        <f>'[2]Empaque (10)'!H50</f>
        <v>0</v>
      </c>
      <c r="H50" s="48">
        <f>'[2]Empaque (10)'!I50</f>
        <v>0</v>
      </c>
      <c r="I50" s="53">
        <f>'[2]Empaque (10)'!J50</f>
        <v>0</v>
      </c>
      <c r="J50" s="117">
        <f>'[2]Empaque (10)'!K50</f>
        <v>0</v>
      </c>
      <c r="K50" s="55"/>
      <c r="L50" s="55">
        <f>IF(C50=0+E50-F50,0,(K50-#REF!)-(K50*#REF!))</f>
        <v>0</v>
      </c>
      <c r="M50" s="55">
        <f>C50*L50</f>
        <v>0</v>
      </c>
      <c r="N50" s="57"/>
      <c r="P50" s="58">
        <v>0</v>
      </c>
      <c r="S50" s="10"/>
      <c r="T50" s="59">
        <v>0</v>
      </c>
      <c r="U50" s="59">
        <v>0</v>
      </c>
      <c r="V50" s="59">
        <v>0</v>
      </c>
      <c r="W50" s="59">
        <v>0</v>
      </c>
      <c r="X50" s="59">
        <v>0</v>
      </c>
      <c r="Z50" s="60" t="str">
        <f>'[2]Empaque (10)'!AA50</f>
        <v>Jb</v>
      </c>
      <c r="AA50" s="61">
        <f>'[2]Empaque (10)'!AB50</f>
        <v>24</v>
      </c>
      <c r="AB50" s="62">
        <f>'[2]Empaque (10)'!AC50</f>
        <v>0</v>
      </c>
      <c r="AC50" s="63">
        <f>'[2]Empaque (10)'!AD50</f>
        <v>0</v>
      </c>
      <c r="AG50" s="64"/>
      <c r="AH50" s="65">
        <v>0</v>
      </c>
      <c r="AI50" s="65">
        <v>0</v>
      </c>
    </row>
    <row r="51" spans="1:36" ht="15" hidden="1" customHeight="1" x14ac:dyDescent="0.3">
      <c r="A51" s="46" t="str">
        <f>'[2]Empaque (10)'!A51</f>
        <v>Xl</v>
      </c>
      <c r="B51" s="66">
        <f>'[2]Empaque (10)'!B51</f>
        <v>24</v>
      </c>
      <c r="C51" s="67">
        <f>'[2]Empaque (10)'!C51</f>
        <v>0</v>
      </c>
      <c r="D51" s="49" t="str">
        <f>'[2]Empaque (10)'!D51</f>
        <v/>
      </c>
      <c r="E51" s="50">
        <f>'[2]Empaque (10)'!F51</f>
        <v>0</v>
      </c>
      <c r="F51" s="51">
        <f>'[2]Empaque (10)'!G51</f>
        <v>0</v>
      </c>
      <c r="G51" s="68">
        <f>'[2]Empaque (10)'!H51</f>
        <v>0</v>
      </c>
      <c r="H51" s="67">
        <f>'[2]Empaque (10)'!I51</f>
        <v>0</v>
      </c>
      <c r="I51" s="53">
        <f>'[2]Empaque (10)'!J51</f>
        <v>0</v>
      </c>
      <c r="J51" s="117">
        <f>'[2]Empaque (10)'!K51</f>
        <v>0</v>
      </c>
      <c r="K51" s="69"/>
      <c r="L51" s="69">
        <f>IF(C51=0+E51-F51,0,(K51-#REF!)-(K51*#REF!))</f>
        <v>0</v>
      </c>
      <c r="M51" s="69">
        <f t="shared" ref="M51:M55" si="6">C51*L51</f>
        <v>0</v>
      </c>
      <c r="N51" s="71"/>
      <c r="P51" s="58">
        <v>0</v>
      </c>
      <c r="S51" s="10"/>
      <c r="Z51" s="60" t="str">
        <f>'[2]Empaque (10)'!AA51</f>
        <v>Xl</v>
      </c>
      <c r="AA51" s="72">
        <f>'[2]Empaque (10)'!AB51</f>
        <v>24</v>
      </c>
      <c r="AB51" s="62">
        <f>'[2]Empaque (10)'!AC51</f>
        <v>0</v>
      </c>
      <c r="AC51" s="63">
        <f>'[2]Empaque (10)'!AD51</f>
        <v>0</v>
      </c>
      <c r="AG51" s="73"/>
      <c r="AH51" s="74">
        <v>0</v>
      </c>
      <c r="AI51" s="74">
        <v>0</v>
      </c>
    </row>
    <row r="52" spans="1:36" ht="15" hidden="1" customHeight="1" x14ac:dyDescent="0.3">
      <c r="A52" s="46" t="str">
        <f>'[2]Empaque (10)'!A52</f>
        <v>Lg</v>
      </c>
      <c r="B52" s="47">
        <f>'[2]Empaque (10)'!B52</f>
        <v>24</v>
      </c>
      <c r="C52" s="67">
        <f>'[2]Empaque (10)'!C52</f>
        <v>0</v>
      </c>
      <c r="D52" s="49" t="str">
        <f>'[2]Empaque (10)'!D52</f>
        <v/>
      </c>
      <c r="E52" s="50">
        <f>'[2]Empaque (10)'!F52</f>
        <v>0</v>
      </c>
      <c r="F52" s="51">
        <f>'[2]Empaque (10)'!G52</f>
        <v>0</v>
      </c>
      <c r="G52" s="68">
        <f>'[2]Empaque (10)'!H52</f>
        <v>0</v>
      </c>
      <c r="H52" s="67">
        <f>'[2]Empaque (10)'!I52</f>
        <v>0</v>
      </c>
      <c r="I52" s="53">
        <f>'[2]Empaque (10)'!J52</f>
        <v>0</v>
      </c>
      <c r="J52" s="117">
        <f>'[2]Empaque (10)'!K52</f>
        <v>0</v>
      </c>
      <c r="K52" s="69"/>
      <c r="L52" s="69">
        <f>IF(C52=0+E52-F52,0,(K52-#REF!)-(K52*#REF!))</f>
        <v>0</v>
      </c>
      <c r="M52" s="69">
        <f t="shared" si="6"/>
        <v>0</v>
      </c>
      <c r="N52" s="75"/>
      <c r="P52" s="58">
        <v>0</v>
      </c>
      <c r="S52" s="10"/>
      <c r="Z52" s="60" t="str">
        <f>'[2]Empaque (10)'!AA52</f>
        <v>Lg</v>
      </c>
      <c r="AA52" s="61">
        <f>'[2]Empaque (10)'!AB52</f>
        <v>24</v>
      </c>
      <c r="AB52" s="62">
        <f>'[2]Empaque (10)'!AC52</f>
        <v>0</v>
      </c>
      <c r="AC52" s="63">
        <f>'[2]Empaque (10)'!AD52</f>
        <v>0</v>
      </c>
      <c r="AG52" s="73"/>
      <c r="AH52" s="74">
        <v>0</v>
      </c>
      <c r="AI52" s="74">
        <v>0</v>
      </c>
    </row>
    <row r="53" spans="1:36" ht="15" hidden="1" customHeight="1" x14ac:dyDescent="0.3">
      <c r="A53" s="46" t="str">
        <f>'[2]Empaque (10)'!A53</f>
        <v>Md</v>
      </c>
      <c r="B53" s="66">
        <f>'[2]Empaque (10)'!B53</f>
        <v>24</v>
      </c>
      <c r="C53" s="67">
        <f>'[2]Empaque (10)'!C53</f>
        <v>0</v>
      </c>
      <c r="D53" s="49" t="str">
        <f>'[2]Empaque (10)'!D53</f>
        <v/>
      </c>
      <c r="E53" s="50">
        <f>'[2]Empaque (10)'!F53</f>
        <v>0</v>
      </c>
      <c r="F53" s="51">
        <f>'[2]Empaque (10)'!G53</f>
        <v>0</v>
      </c>
      <c r="G53" s="68">
        <f>'[2]Empaque (10)'!H53</f>
        <v>0</v>
      </c>
      <c r="H53" s="67">
        <f>'[2]Empaque (10)'!I53</f>
        <v>0</v>
      </c>
      <c r="I53" s="53">
        <f>'[2]Empaque (10)'!J53</f>
        <v>0</v>
      </c>
      <c r="J53" s="117">
        <f>'[2]Empaque (10)'!K53</f>
        <v>0</v>
      </c>
      <c r="K53" s="69"/>
      <c r="L53" s="69">
        <f>IF(C53=0+E53-F53,0,(K53-#REF!)-(K53*#REF!))</f>
        <v>0</v>
      </c>
      <c r="M53" s="69">
        <f t="shared" si="6"/>
        <v>0</v>
      </c>
      <c r="N53" s="76"/>
      <c r="P53" s="58">
        <v>0</v>
      </c>
      <c r="S53" s="10"/>
      <c r="Z53" s="60" t="str">
        <f>'[2]Empaque (10)'!AA53</f>
        <v>Md</v>
      </c>
      <c r="AA53" s="72">
        <f>'[2]Empaque (10)'!AB53</f>
        <v>24</v>
      </c>
      <c r="AB53" s="62">
        <f>'[2]Empaque (10)'!AC53</f>
        <v>0</v>
      </c>
      <c r="AC53" s="63">
        <f>'[2]Empaque (10)'!AD53</f>
        <v>0</v>
      </c>
      <c r="AG53" s="73"/>
      <c r="AH53" s="74">
        <v>0</v>
      </c>
      <c r="AI53" s="74">
        <v>0</v>
      </c>
    </row>
    <row r="54" spans="1:36" ht="15" hidden="1" customHeight="1" x14ac:dyDescent="0.3">
      <c r="A54" s="46" t="str">
        <f>'[2]Empaque (10)'!A54</f>
        <v>Sm</v>
      </c>
      <c r="B54" s="47">
        <f>'[2]Empaque (10)'!B54</f>
        <v>24</v>
      </c>
      <c r="C54" s="67">
        <f>'[2]Empaque (10)'!C54</f>
        <v>0</v>
      </c>
      <c r="D54" s="49" t="str">
        <f>'[2]Empaque (10)'!D54</f>
        <v/>
      </c>
      <c r="E54" s="50">
        <f>'[2]Empaque (10)'!F54</f>
        <v>0</v>
      </c>
      <c r="F54" s="51">
        <f>'[2]Empaque (10)'!G54</f>
        <v>0</v>
      </c>
      <c r="G54" s="68">
        <f>'[2]Empaque (10)'!H54</f>
        <v>0</v>
      </c>
      <c r="H54" s="67">
        <f>'[2]Empaque (10)'!I54</f>
        <v>0</v>
      </c>
      <c r="I54" s="53">
        <f>'[2]Empaque (10)'!J54</f>
        <v>0</v>
      </c>
      <c r="J54" s="117">
        <f>'[2]Empaque (10)'!K54</f>
        <v>0</v>
      </c>
      <c r="K54" s="69"/>
      <c r="L54" s="69">
        <f>IF(C54=0+E54-F54,0,(K54-#REF!)-(K54*#REF!))</f>
        <v>0</v>
      </c>
      <c r="M54" s="69">
        <f t="shared" si="6"/>
        <v>0</v>
      </c>
      <c r="N54" s="76"/>
      <c r="P54" s="58">
        <v>0</v>
      </c>
      <c r="Z54" s="60" t="str">
        <f>'[2]Empaque (10)'!AA54</f>
        <v>Sm</v>
      </c>
      <c r="AA54" s="61">
        <f>'[2]Empaque (10)'!AB54</f>
        <v>24</v>
      </c>
      <c r="AB54" s="77">
        <f>'[2]Empaque (10)'!AC54</f>
        <v>0</v>
      </c>
      <c r="AC54" s="63">
        <f>'[2]Empaque (10)'!AD54</f>
        <v>0</v>
      </c>
      <c r="AG54" s="64"/>
      <c r="AH54" s="78">
        <v>0</v>
      </c>
      <c r="AI54" s="78">
        <v>0</v>
      </c>
    </row>
    <row r="55" spans="1:36" ht="15.75" hidden="1" customHeight="1" thickBot="1" x14ac:dyDescent="0.35">
      <c r="A55" s="79" t="str">
        <f>'[2]Empaque (10)'!A55</f>
        <v>Mixto</v>
      </c>
      <c r="B55" s="85">
        <f>'[2]Empaque (10)'!B55</f>
        <v>0</v>
      </c>
      <c r="C55" s="81">
        <f>'[2]Empaque (10)'!C55</f>
        <v>0</v>
      </c>
      <c r="D55" s="82" t="str">
        <f>'[2]Empaque (10)'!D55</f>
        <v/>
      </c>
      <c r="E55" s="83">
        <f>'[2]Empaque (10)'!F55</f>
        <v>0</v>
      </c>
      <c r="F55" s="84">
        <f>'[2]Empaque (10)'!G55</f>
        <v>0</v>
      </c>
      <c r="G55" s="85">
        <f>'[2]Empaque (10)'!H55</f>
        <v>0</v>
      </c>
      <c r="H55" s="81">
        <f>'[2]Empaque (10)'!I55</f>
        <v>0</v>
      </c>
      <c r="I55" s="86">
        <f>'[2]Empaque (10)'!J55</f>
        <v>0</v>
      </c>
      <c r="J55" s="118">
        <f>'[2]Empaque (10)'!K55</f>
        <v>0</v>
      </c>
      <c r="K55" s="88"/>
      <c r="L55" s="88">
        <f>IF(C55=0+E55-F55,0,(K55-#REF!)-(K55*#REF!))</f>
        <v>0</v>
      </c>
      <c r="M55" s="88">
        <f t="shared" si="6"/>
        <v>0</v>
      </c>
      <c r="N55" s="43"/>
      <c r="O55" s="43"/>
      <c r="P55" s="58">
        <v>0</v>
      </c>
      <c r="Z55" s="90" t="str">
        <f>'[2]Empaque (10)'!AA55</f>
        <v>xs</v>
      </c>
      <c r="AA55" s="91">
        <f>'[2]Empaque (10)'!AB55</f>
        <v>0</v>
      </c>
      <c r="AB55" s="92">
        <f>'[2]Empaque (10)'!AC55</f>
        <v>0</v>
      </c>
      <c r="AC55" s="93">
        <f>'[2]Empaque (10)'!AD55</f>
        <v>0</v>
      </c>
      <c r="AG55" s="94"/>
      <c r="AH55" s="95">
        <v>0</v>
      </c>
      <c r="AI55" s="95">
        <v>0</v>
      </c>
    </row>
    <row r="56" spans="1:36" ht="15.75" hidden="1" customHeight="1" thickTop="1" x14ac:dyDescent="0.3">
      <c r="C56" s="96">
        <f>'[2]Empaque (10)'!C56</f>
        <v>0</v>
      </c>
      <c r="D56" s="97" t="str">
        <f>'[2]Empaque (10)'!D56</f>
        <v/>
      </c>
      <c r="E56" s="98">
        <f>'[2]Empaque (10)'!F56</f>
        <v>0</v>
      </c>
      <c r="F56" s="99">
        <f>'[2]Empaque (10)'!G56</f>
        <v>0</v>
      </c>
      <c r="G56" s="100">
        <f>'[2]Empaque (10)'!H56</f>
        <v>0</v>
      </c>
      <c r="H56" s="100">
        <f>'[2]Empaque (10)'!I56</f>
        <v>0</v>
      </c>
      <c r="I56" s="100">
        <f>'[2]Empaque (10)'!J56</f>
        <v>0</v>
      </c>
      <c r="J56" s="119">
        <f>'[2]Empaque (10)'!K56</f>
        <v>0</v>
      </c>
      <c r="K56" s="102">
        <f>IFERROR((C50*K50+C51*K51+C52*K52+C53*K53+C54*K54+C55*K55)/C56,0)</f>
        <v>0</v>
      </c>
      <c r="L56" s="103">
        <f>IFERROR(M56/C56,0)</f>
        <v>0</v>
      </c>
      <c r="M56" s="103">
        <f>SUM(M50:M55)</f>
        <v>0</v>
      </c>
      <c r="N56" s="55"/>
      <c r="O56" s="55"/>
      <c r="AA56" s="104"/>
      <c r="AB56" s="105">
        <f>'[2]Empaque (10)'!AC56</f>
        <v>0</v>
      </c>
      <c r="AC56" s="106">
        <f>'[2]Empaque (10)'!AD56</f>
        <v>0</v>
      </c>
      <c r="AH56" s="107">
        <v>0</v>
      </c>
      <c r="AI56" s="107">
        <v>0</v>
      </c>
      <c r="AJ56" s="108">
        <v>0</v>
      </c>
    </row>
    <row r="57" spans="1:36" x14ac:dyDescent="0.3">
      <c r="C57" s="109"/>
      <c r="E57" s="109"/>
      <c r="G57" s="109"/>
      <c r="I57" s="109"/>
      <c r="K57" s="76"/>
      <c r="L57" s="120"/>
      <c r="M57" s="76"/>
      <c r="N57" s="76"/>
      <c r="AA57" s="104"/>
      <c r="AH57" s="76"/>
      <c r="AI57" s="76"/>
    </row>
    <row r="58" spans="1:36" x14ac:dyDescent="0.3">
      <c r="A58" s="1" t="s">
        <v>34</v>
      </c>
      <c r="C58" s="96">
        <f>'[2]Empaque (10)'!C58</f>
        <v>287</v>
      </c>
      <c r="E58" s="121">
        <f>'[2]Empaque (10)'!F59</f>
        <v>0</v>
      </c>
      <c r="F58" s="122">
        <f>'[2]Empaque (10)'!G58</f>
        <v>0</v>
      </c>
      <c r="G58" s="96">
        <f>'[2]Empaque (10)'!H58</f>
        <v>0</v>
      </c>
      <c r="H58" s="122">
        <f>'[2]Empaque (10)'!I58</f>
        <v>170</v>
      </c>
      <c r="I58" s="96">
        <f>'[2]Empaque (10)'!J58</f>
        <v>117</v>
      </c>
      <c r="J58" s="122">
        <f>'[2]Empaque (10)'!K58</f>
        <v>1.625</v>
      </c>
      <c r="K58" s="176">
        <f>(K26*C26)+(K27*C27)+(K28*C28)+(K29*C29)+(K30*C30)+(K31*C31)</f>
        <v>109060</v>
      </c>
      <c r="L58" s="22">
        <f>M58/C58</f>
        <v>344</v>
      </c>
      <c r="M58" s="123">
        <f>M16+M24+M32+M40+M48+M56</f>
        <v>98728</v>
      </c>
      <c r="P58" s="60" t="s">
        <v>2</v>
      </c>
      <c r="Q58" s="124">
        <f>'[2]Empaque (10)'!O58</f>
        <v>3587.5</v>
      </c>
      <c r="Z58" s="1" t="str">
        <f>'[2]Empaque (10)'!AA58</f>
        <v>Totales</v>
      </c>
      <c r="AA58" s="104"/>
      <c r="AB58" s="96">
        <f>'[2]Empaque (10)'!AC58</f>
        <v>1874</v>
      </c>
      <c r="AC58" s="125"/>
      <c r="AE58" s="43" t="s">
        <v>33</v>
      </c>
      <c r="AF58" s="126">
        <v>0.92896174863387981</v>
      </c>
      <c r="AH58" s="107">
        <v>0</v>
      </c>
      <c r="AI58" s="107">
        <v>14693</v>
      </c>
      <c r="AJ58" s="127">
        <v>209391</v>
      </c>
    </row>
    <row r="59" spans="1:36" x14ac:dyDescent="0.3">
      <c r="C59" s="109"/>
      <c r="G59" s="7"/>
      <c r="I59" s="177" t="s">
        <v>20</v>
      </c>
      <c r="J59" s="178">
        <f>I16+I24+I56</f>
        <v>0</v>
      </c>
      <c r="AB59" s="128">
        <f>'[2]Empaque (10)'!AC59</f>
        <v>267.71428571428572</v>
      </c>
      <c r="AC59" s="20" t="s">
        <v>35</v>
      </c>
    </row>
    <row r="60" spans="1:36" x14ac:dyDescent="0.3">
      <c r="B60" s="129" t="s">
        <v>35</v>
      </c>
      <c r="C60" s="130">
        <f>'[2]Empaque (10)'!C60</f>
        <v>229.6</v>
      </c>
      <c r="I60" s="177" t="s">
        <v>21</v>
      </c>
      <c r="J60" s="178">
        <f>I32+I40</f>
        <v>117</v>
      </c>
    </row>
    <row r="62" spans="1:36" x14ac:dyDescent="0.3">
      <c r="A62" s="2" t="s">
        <v>36</v>
      </c>
      <c r="B62" s="2"/>
      <c r="C62" s="2"/>
      <c r="E62" s="131"/>
      <c r="F62" s="2" t="s">
        <v>37</v>
      </c>
      <c r="G62" s="2"/>
      <c r="H62" s="2"/>
      <c r="I62" s="132"/>
      <c r="Z62" s="133" t="s">
        <v>38</v>
      </c>
      <c r="AB62" s="134">
        <f>(AB10+AB11+AB12+AB18+AB19+AB20+AB26+AB27+AB28+AB34+AB35+AB36)/AB58</f>
        <v>0.96051227321237997</v>
      </c>
    </row>
    <row r="63" spans="1:36" x14ac:dyDescent="0.3">
      <c r="A63" s="10"/>
      <c r="B63" s="10"/>
      <c r="C63" s="10" t="s">
        <v>39</v>
      </c>
      <c r="F63" s="11" t="s">
        <v>2</v>
      </c>
      <c r="G63" s="135">
        <f>'[2]Empaque (10)'!R2</f>
        <v>3587.5</v>
      </c>
      <c r="H63" s="136">
        <f ca="1">'[2]Empaque (10)'!S2</f>
        <v>0.91535370287682605</v>
      </c>
      <c r="I63" s="6" t="str">
        <f>'[2]Empaque (10)'!T2</f>
        <v>% emp kg</v>
      </c>
      <c r="Z63" s="133" t="s">
        <v>40</v>
      </c>
      <c r="AB63" s="137">
        <f>(AB10+AB11+AB18+AB19+AB26+AB27+AB34+AB35)/AB58</f>
        <v>0.91515474919957307</v>
      </c>
    </row>
    <row r="64" spans="1:36" x14ac:dyDescent="0.3">
      <c r="A64" s="10" t="s">
        <v>41</v>
      </c>
      <c r="B64" s="138">
        <f>'[2]Empaque (10)'!N3</f>
        <v>0</v>
      </c>
      <c r="C64" s="139">
        <f>'[2]Empaque (10)'!O3</f>
        <v>0</v>
      </c>
      <c r="F64" s="4" t="s">
        <v>42</v>
      </c>
      <c r="G64" s="140">
        <f>'[2]Empaque (10)'!R3</f>
        <v>0.93728222996515675</v>
      </c>
      <c r="H64" s="141">
        <f>'[2]Empaque (10)'!S3</f>
        <v>0.86759581881533099</v>
      </c>
      <c r="I64" s="142" t="str">
        <f>'[2]Empaque (10)'!T3</f>
        <v>Jb, XL</v>
      </c>
      <c r="Z64" s="1"/>
    </row>
    <row r="65" spans="1:28" ht="15.6" x14ac:dyDescent="0.3">
      <c r="A65" s="10" t="s">
        <v>43</v>
      </c>
      <c r="B65" s="143">
        <f ca="1">'[2]Empaque (10)'!N4</f>
        <v>10.166666666666666</v>
      </c>
      <c r="C65" s="139">
        <f ca="1">'[2]Empaque (10)'!O4</f>
        <v>3919.2499999999995</v>
      </c>
      <c r="G65" s="179">
        <f ca="1">'[2]Empaque (10)'!R4</f>
        <v>0.94098360655737701</v>
      </c>
      <c r="H65" s="20" t="str">
        <f>'[2]Empaque (10)'!S4</f>
        <v>cajas x cubeta</v>
      </c>
      <c r="Z65" s="144" t="s">
        <v>44</v>
      </c>
      <c r="AB65" s="145" t="e">
        <f>SUMIFS([2]Listado!H6:H100,[2]Listado!B6:B135,"&gt;="&amp;AE1,[2]Listado!B6:B135,"&lt;="&amp;AF1)</f>
        <v>#VALUE!</v>
      </c>
    </row>
    <row r="66" spans="1:28" x14ac:dyDescent="0.3">
      <c r="A66" s="10" t="s">
        <v>45</v>
      </c>
      <c r="B66" s="138">
        <f ca="1">'[2]Empaque (10)'!N5</f>
        <v>0</v>
      </c>
      <c r="C66" s="139">
        <f ca="1">'[2]Empaque (10)'!O5</f>
        <v>0</v>
      </c>
      <c r="G66" s="146">
        <f ca="1">'[2]Empaque (10)'!R5</f>
        <v>28.229508196721312</v>
      </c>
      <c r="H66" s="20" t="str">
        <f>'[2]Empaque (10)'!S5</f>
        <v>Cajas x bin</v>
      </c>
    </row>
    <row r="67" spans="1:28" x14ac:dyDescent="0.3">
      <c r="C67" s="147">
        <f ca="1">'[2]Empaque (10)'!O6</f>
        <v>3919.2499999999995</v>
      </c>
      <c r="G67" s="2" t="str">
        <f>'[2]Empaque (10)'!R6</f>
        <v>Por pasar y reproc</v>
      </c>
      <c r="H67" s="2"/>
    </row>
    <row r="68" spans="1:28" x14ac:dyDescent="0.3">
      <c r="B68" s="35" t="s">
        <v>46</v>
      </c>
      <c r="C68" s="136">
        <f>'[2]Empaque (10)'!O7</f>
        <v>0</v>
      </c>
      <c r="F68" s="11" t="s">
        <v>43</v>
      </c>
      <c r="G68" s="148">
        <f>'[2]Empaque (10)'!R7</f>
        <v>0</v>
      </c>
      <c r="H68" s="149">
        <f>'[2]Empaque (10)'!S7</f>
        <v>0</v>
      </c>
      <c r="I68" s="37"/>
    </row>
    <row r="69" spans="1:28" x14ac:dyDescent="0.3">
      <c r="B69" s="8" t="s">
        <v>47</v>
      </c>
      <c r="C69" s="136">
        <f>'[2]Empaque (10)'!O8</f>
        <v>1</v>
      </c>
      <c r="F69" s="11" t="s">
        <v>45</v>
      </c>
      <c r="G69" s="148">
        <f>'[2]Empaque (10)'!R8</f>
        <v>0</v>
      </c>
      <c r="H69" s="149">
        <f>'[2]Empaque (10)'!S8</f>
        <v>0</v>
      </c>
      <c r="I69" s="37"/>
    </row>
    <row r="70" spans="1:28" x14ac:dyDescent="0.3">
      <c r="B70" s="8"/>
      <c r="C70" s="17"/>
      <c r="F70" s="11"/>
      <c r="G70" s="3"/>
      <c r="H70" s="37"/>
      <c r="I70" s="37"/>
    </row>
    <row r="71" spans="1:28" ht="18" x14ac:dyDescent="0.35">
      <c r="A71" s="150" t="s">
        <v>48</v>
      </c>
      <c r="B71" s="151"/>
      <c r="C71" s="152" t="s">
        <v>35</v>
      </c>
      <c r="F71" s="11"/>
      <c r="G71" s="3"/>
      <c r="H71" s="37"/>
      <c r="I71" s="37"/>
    </row>
    <row r="72" spans="1:28" ht="15.6" x14ac:dyDescent="0.3">
      <c r="A72" s="153" t="s">
        <v>45</v>
      </c>
      <c r="B72" s="154">
        <f ca="1">'[2]Cajas x Semana'!F130</f>
        <v>659</v>
      </c>
      <c r="C72" s="155">
        <f ca="1">B72/1.25</f>
        <v>527.20000000000005</v>
      </c>
      <c r="F72" s="11"/>
      <c r="G72" s="3"/>
      <c r="H72" s="37"/>
      <c r="I72" s="37"/>
    </row>
    <row r="73" spans="1:28" ht="15.6" x14ac:dyDescent="0.3">
      <c r="A73" s="153" t="s">
        <v>49</v>
      </c>
      <c r="B73" s="156">
        <f ca="1">'[2]Cajas x Semana'!F132</f>
        <v>0.89226100151745069</v>
      </c>
      <c r="C73" s="17"/>
      <c r="F73" s="11"/>
      <c r="G73" s="3"/>
      <c r="H73" s="37"/>
      <c r="I73" s="37"/>
    </row>
    <row r="75" spans="1:28" x14ac:dyDescent="0.3">
      <c r="A75" s="157" t="s">
        <v>50</v>
      </c>
      <c r="B75" s="158"/>
      <c r="C75" s="159" t="s">
        <v>51</v>
      </c>
    </row>
    <row r="76" spans="1:28" x14ac:dyDescent="0.3">
      <c r="A76" s="160" t="s">
        <v>69</v>
      </c>
      <c r="B76" s="161">
        <f ca="1">VLOOKUP(G4,'[2]Cajas Acum x Fecha'!$B$11:$I$147,8,FALSE)</f>
        <v>1499.2</v>
      </c>
    </row>
    <row r="77" spans="1:28" x14ac:dyDescent="0.3">
      <c r="A77" s="160" t="s">
        <v>70</v>
      </c>
      <c r="B77" s="161">
        <f>IFERROR(VLOOKUP($G$4-365,'[3]Cajas Acum x Fecha'!$P$10:$Q$125,2,FALSE),0)</f>
        <v>862.28571428571433</v>
      </c>
      <c r="C77" s="45">
        <f ca="1">($B$76-B77)/$B77</f>
        <v>0.73863485752153735</v>
      </c>
    </row>
    <row r="78" spans="1:28" x14ac:dyDescent="0.3">
      <c r="A78" s="160" t="s">
        <v>71</v>
      </c>
      <c r="B78" s="161">
        <f>VLOOKUP(G4-730,'[4]Cajas Acum x Fecha'!$P$10:$Q$125,2,FALSE)</f>
        <v>2276.6</v>
      </c>
      <c r="C78" s="45">
        <f ca="1">($B$76-B78)/$B78</f>
        <v>-0.34147412808574185</v>
      </c>
    </row>
    <row r="79" spans="1:28" x14ac:dyDescent="0.3">
      <c r="A79" s="160" t="s">
        <v>72</v>
      </c>
      <c r="B79" s="161">
        <f>VLOOKUP(G4-1096,'[5]Cajas Acum x Fecha'!$P$10:$Q$125,2,FALSE)</f>
        <v>3218</v>
      </c>
      <c r="C79" s="45">
        <f ca="1">($B$76-B79)/$B79</f>
        <v>-0.53412057178371652</v>
      </c>
    </row>
    <row r="80" spans="1:28" x14ac:dyDescent="0.3">
      <c r="A80" s="14"/>
      <c r="B80" s="180"/>
      <c r="C80" s="181"/>
      <c r="L80" s="182"/>
    </row>
    <row r="81" spans="1:7" x14ac:dyDescent="0.3">
      <c r="A81" s="14"/>
      <c r="B81" s="180"/>
      <c r="C81" s="181"/>
    </row>
    <row r="83" spans="1:7" x14ac:dyDescent="0.3">
      <c r="A83" s="2" t="s">
        <v>52</v>
      </c>
      <c r="B83" s="2"/>
    </row>
    <row r="84" spans="1:7" x14ac:dyDescent="0.3">
      <c r="A84" s="6" t="s">
        <v>53</v>
      </c>
      <c r="B84" s="162"/>
    </row>
    <row r="85" spans="1:7" x14ac:dyDescent="0.3">
      <c r="A85" s="6" t="s">
        <v>46</v>
      </c>
      <c r="B85" s="162"/>
      <c r="C85" s="163" t="str">
        <f>IF(B85&gt;0.9,"OK","Subir")</f>
        <v>Subir</v>
      </c>
    </row>
    <row r="86" spans="1:7" x14ac:dyDescent="0.3">
      <c r="A86" s="6" t="s">
        <v>54</v>
      </c>
      <c r="B86" s="162"/>
      <c r="C86" s="163" t="str">
        <f>IF(B86&gt;0.8,"OK","Subir")</f>
        <v>Subir</v>
      </c>
    </row>
    <row r="87" spans="1:7" x14ac:dyDescent="0.3">
      <c r="A87" s="6" t="s">
        <v>55</v>
      </c>
      <c r="B87" s="162"/>
      <c r="C87" s="163" t="str">
        <f>IF(B87&lt;0.2,"OK","Subir")</f>
        <v>OK</v>
      </c>
    </row>
    <row r="90" spans="1:7" x14ac:dyDescent="0.3">
      <c r="B90" s="164">
        <f>G4-365</f>
        <v>45790</v>
      </c>
    </row>
    <row r="94" spans="1:7" x14ac:dyDescent="0.3">
      <c r="D94" s="1"/>
    </row>
    <row r="95" spans="1:7" ht="48.6" x14ac:dyDescent="0.3">
      <c r="B95" s="165" t="s">
        <v>56</v>
      </c>
      <c r="C95" s="166" t="s">
        <v>57</v>
      </c>
      <c r="D95" s="167" t="s">
        <v>58</v>
      </c>
      <c r="E95" s="43" t="s">
        <v>59</v>
      </c>
      <c r="F95" s="168" t="s">
        <v>60</v>
      </c>
      <c r="G95" s="168" t="s">
        <v>61</v>
      </c>
    </row>
    <row r="96" spans="1:7" x14ac:dyDescent="0.3">
      <c r="A96" s="8" t="s">
        <v>62</v>
      </c>
      <c r="B96" s="169">
        <v>45889</v>
      </c>
      <c r="C96" s="169">
        <f>[2]Corte!J7</f>
        <v>46134</v>
      </c>
      <c r="D96" s="169">
        <v>45999</v>
      </c>
      <c r="E96" s="170">
        <f>D96-C96</f>
        <v>-135</v>
      </c>
      <c r="F96" s="171">
        <f>D96-B96</f>
        <v>110</v>
      </c>
      <c r="G96" s="171">
        <v>895</v>
      </c>
    </row>
    <row r="97" spans="1:7" x14ac:dyDescent="0.3">
      <c r="A97" s="8" t="s">
        <v>63</v>
      </c>
      <c r="B97" s="169">
        <v>45519</v>
      </c>
      <c r="C97" s="169">
        <v>45603</v>
      </c>
      <c r="D97" s="169">
        <v>45635</v>
      </c>
      <c r="E97" s="170">
        <f>D97-C97</f>
        <v>32</v>
      </c>
      <c r="F97" s="171">
        <f>D97-B97</f>
        <v>116</v>
      </c>
      <c r="G97" s="171">
        <v>1540</v>
      </c>
    </row>
    <row r="98" spans="1:7" x14ac:dyDescent="0.3">
      <c r="A98" s="8" t="s">
        <v>64</v>
      </c>
      <c r="B98" s="169">
        <v>45156</v>
      </c>
      <c r="C98" s="169">
        <v>45251</v>
      </c>
      <c r="D98" s="169">
        <v>45272</v>
      </c>
      <c r="E98" s="170">
        <f>D98-C98</f>
        <v>21</v>
      </c>
      <c r="F98" s="171">
        <f>D98-B98</f>
        <v>116</v>
      </c>
      <c r="G98" s="171">
        <v>1048</v>
      </c>
    </row>
    <row r="99" spans="1:7" x14ac:dyDescent="0.3">
      <c r="A99" s="8" t="s">
        <v>65</v>
      </c>
      <c r="B99" s="169">
        <v>44789</v>
      </c>
      <c r="C99" s="169">
        <v>44860</v>
      </c>
      <c r="D99" s="169">
        <v>44897</v>
      </c>
      <c r="E99" s="170">
        <f>D99-C99</f>
        <v>37</v>
      </c>
      <c r="F99" s="171">
        <f>D99-B99</f>
        <v>108</v>
      </c>
      <c r="G99" s="171">
        <v>875</v>
      </c>
    </row>
    <row r="100" spans="1:7" x14ac:dyDescent="0.3">
      <c r="A100" s="8" t="s">
        <v>66</v>
      </c>
      <c r="B100" s="10"/>
    </row>
    <row r="101" spans="1:7" x14ac:dyDescent="0.3">
      <c r="A101" s="8" t="s">
        <v>67</v>
      </c>
      <c r="B101" s="10"/>
    </row>
  </sheetData>
  <mergeCells count="18">
    <mergeCell ref="Q6:R6"/>
    <mergeCell ref="Z7:Z8"/>
    <mergeCell ref="AA7:AA8"/>
    <mergeCell ref="AB7:AB8"/>
    <mergeCell ref="AC7:AC8"/>
    <mergeCell ref="A8:B8"/>
    <mergeCell ref="A6:A7"/>
    <mergeCell ref="B6:B7"/>
    <mergeCell ref="C6:C7"/>
    <mergeCell ref="D6:D7"/>
    <mergeCell ref="F6:H6"/>
    <mergeCell ref="K6:K7"/>
    <mergeCell ref="A1:C1"/>
    <mergeCell ref="P1:R1"/>
    <mergeCell ref="G2:I2"/>
    <mergeCell ref="B3:D3"/>
    <mergeCell ref="A4:C4"/>
    <mergeCell ref="G4:J4"/>
  </mergeCells>
  <conditionalFormatting sqref="C85:C87">
    <cfRule type="expression" dxfId="0" priority="1">
      <formula>IF($C85="OK",TRUE,FALSE)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 PDF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Bátiz Esquer</dc:creator>
  <cp:lastModifiedBy>Gerardo Bátiz Esquer</cp:lastModifiedBy>
  <dcterms:created xsi:type="dcterms:W3CDTF">2026-05-12T00:53:48Z</dcterms:created>
  <dcterms:modified xsi:type="dcterms:W3CDTF">2026-05-14T00:18:10Z</dcterms:modified>
</cp:coreProperties>
</file>